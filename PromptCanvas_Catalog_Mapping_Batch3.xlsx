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e39398360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a4958bdd9b04f16"/>
    <x:sheet xmlns:r="http://schemas.openxmlformats.org/officeDocument/2006/relationships" name="Catalog Master 60" sheetId="2" r:id="R97dcc349fe6940a2"/>
    <x:sheet xmlns:r="http://schemas.openxmlformats.org/officeDocument/2006/relationships" name="Existing 50 Remediation" sheetId="3" r:id="R6bb38be2aefe4db2"/>
    <x:sheet xmlns:r="http://schemas.openxmlformats.org/officeDocument/2006/relationships" name="Add 51-60" sheetId="4" r:id="Rc9263a27ef1b49f1"/>
    <x:sheet xmlns:r="http://schemas.openxmlformats.org/officeDocument/2006/relationships" name="Document Pack Mapping" sheetId="5" r:id="Ra615e4b44f694bb9"/>
    <x:sheet xmlns:r="http://schemas.openxmlformats.org/officeDocument/2006/relationships" name="Domain Taxonomy" sheetId="6" r:id="R0575a056064c4a50"/>
    <x:sheet xmlns:r="http://schemas.openxmlformats.org/officeDocument/2006/relationships" name="Architecture Profiles" sheetId="7" r:id="R59040dfaa2c54a4e"/>
    <x:sheet xmlns:r="http://schemas.openxmlformats.org/officeDocument/2006/relationships" name="Batch 3 Plan" sheetId="8" r:id="Raf08153efd5b4643"/>
    <x:sheet xmlns:r="http://schemas.openxmlformats.org/officeDocument/2006/relationships" name="QA Certification" sheetId="9" r:id="Re83686b9547944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sz val="9"/>
      <x:color rgb="FF334155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  <x:font>
      <x:b/>
      <x:sz val="9"/>
      <x:color rgb="FF334155"/>
      <x:name val="Carlito"/>
    </x:font>
    <x:font>
      <x:b/>
      <x:sz val="11"/>
      <x:color rgb="FFFFFFFF"/>
      <x:name val="Carlito"/>
    </x:font>
    <x:font>
      <x:b/>
      <x:sz val="9"/>
      <x:color rgb="FF0B3B75"/>
      <x:name val="Carlito"/>
    </x:font>
    <x:font>
      <x:b/>
      <x:sz val="9"/>
      <x:color rgb="FF7E57C2"/>
      <x:name val="Carlito"/>
    </x:font>
    <x:font>
      <x:b/>
      <x:sz val="10"/>
      <x:color rgb="FF6B4E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3B75"/>
      </x:patternFill>
    </x:fill>
    <x:fill>
      <x:patternFill patternType="solid">
        <x:fgColor rgb="FFE8F0FE"/>
      </x:patternFill>
    </x:fill>
    <x:fill>
      <x:patternFill patternType="solid">
        <x:fgColor rgb="FFF8FAFC"/>
      </x:patternFill>
    </x:fill>
    <x:fill>
      <x:patternFill patternType="solid">
        <x:fgColor rgb="FF1A73E8"/>
      </x:patternFill>
    </x:fill>
    <x:fill>
      <x:patternFill patternType="solid">
        <x:fgColor rgb="FF7E57C2"/>
      </x:patternFill>
    </x:fill>
    <x:fill>
      <x:patternFill patternType="solid">
        <x:fgColor rgb="FF188038"/>
      </x:patternFill>
    </x:fill>
    <x:fill>
      <x:patternFill patternType="solid">
        <x:fgColor rgb="FFFEF7E0"/>
      </x:patternFill>
    </x:fill>
  </x:fills>
  <x:borders count="24">
    <x:border/>
    <x:border/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  <x:border>
      <x:top/>
      <x:bottom/>
    </x:border>
    <x:border>
      <x:top/>
      <x:bottom/>
    </x:border>
  </x:borders>
  <x:cellStyleXfs count="1">
    <x:xf numFmtId="0" fontId="0" fillId="0" borderId="0"/>
  </x:cellStyleXfs>
  <x:cellXfs count="1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0" fontId="5" fillId="0" borderId="18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5" fillId="0" borderId="18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5" fillId="0" borderId="20" xfId="0" applyNumberFormat="1" applyFont="1" applyFill="1" applyBorder="1"/>
    <x:xf numFmtId="0" fontId="5" fillId="0" borderId="21" xfId="0" applyNumberFormat="1" applyFont="1" applyFill="1" applyBorder="1"/>
    <x:xf numFmtId="0" fontId="5" fillId="0" borderId="2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5" fillId="0" borderId="2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1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0" borderId="14" xfId="0" applyNumberFormat="1" applyFont="1" applyFill="1" applyBorder="1" applyAlignment="1">
      <x:alignment vertical="top" wrapText="1"/>
    </x:xf>
    <x:xf numFmtId="0" fontId="8" fillId="0" borderId="16" xfId="0" applyNumberFormat="1" applyFont="1" applyFill="1" applyBorder="1" applyAlignment="1">
      <x:alignment vertical="top" wrapText="1"/>
    </x:xf>
    <x:xf numFmtId="0" fontId="9" fillId="0" borderId="18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19" xfId="0" applyNumberFormat="1" applyFont="1" applyFill="1" applyBorder="1" applyAlignment="1">
      <x:alignment vertical="top" wrapText="1"/>
    </x:xf>
    <x:xf numFmtId="0" fontId="9" fillId="0" borderId="20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0" borderId="2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10" fillId="8" borderId="1" xfId="0" applyNumberFormat="1" applyFont="1" applyFill="1" applyBorder="1"/>
    <x:xf numFmtId="0" fontId="10" fillId="8" borderId="1" xfId="0" applyNumberFormat="1" applyFont="1" applyFill="1" applyBorder="1" applyAlignment="1">
      <x:alignment wrapText="1"/>
    </x:xf>
    <x:xf numFmtId="0" fontId="4" fillId="5" borderId="22" xfId="0" applyNumberFormat="1" applyFont="1" applyFill="1" applyBorder="1"/>
    <x:xf numFmtId="0" fontId="4" fillId="5" borderId="22" xfId="0" applyNumberFormat="1" applyFont="1" applyFill="1" applyBorder="1" applyAlignment="1">
      <x:alignment wrapText="1"/>
    </x:xf>
    <x:xf numFmtId="0" fontId="4" fillId="5" borderId="22" xfId="0" applyNumberFormat="1" applyFont="1" applyFill="1" applyBorder="1" applyAlignment="1">
      <x:alignment horizontal="center" wrapText="1"/>
    </x:xf>
    <x:xf numFmtId="0" fontId="4" fillId="5" borderId="22" xfId="0" applyNumberFormat="1" applyFont="1" applyFill="1" applyBorder="1" applyAlignment="1">
      <x:alignment horizontal="center" vertical="center" wrapText="1"/>
    </x:xf>
    <x:xf numFmtId="0" fontId="4" fillId="5" borderId="23" xfId="0" applyNumberFormat="1" applyFont="1" applyFill="1" applyBorder="1"/>
    <x:xf numFmtId="0" fontId="4" fillId="5" borderId="23" xfId="0" applyNumberFormat="1" applyFont="1" applyFill="1" applyBorder="1" applyAlignment="1">
      <x:alignment wrapText="1"/>
    </x:xf>
    <x:xf numFmtId="0" fontId="4" fillId="5" borderId="23" xfId="0" applyNumberFormat="1" applyFont="1" applyFill="1" applyBorder="1" applyAlignment="1">
      <x:alignment horizontal="center" wrapText="1"/>
    </x:xf>
    <x:xf numFmtId="0" fontId="4" fillId="5" borderId="2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7">
    <x:dxf>
      <x:font>
        <x:b/>
        <x:color rgb="FFD93025"/>
      </x:font>
      <x:fill>
        <x:patternFill patternType="solid">
          <x:bgColor rgb="FFFCE8E6"/>
        </x:patternFill>
      </x:fill>
    </x:dxf>
    <x:dxf>
      <x:font>
        <x:b/>
        <x:color rgb="FF8A4B00"/>
      </x:font>
      <x:fill>
        <x:patternFill patternType="solid">
          <x:bgColor rgb="FFFEF7E0"/>
        </x:patternFill>
      </x:fill>
    </x:dxf>
    <x:dxf>
      <x:font>
        <x:b/>
        <x:color rgb="FF188038"/>
      </x:font>
      <x:fill>
        <x:patternFill patternType="solid">
          <x:bgColor rgb="FFE6F4EA"/>
        </x:patternFill>
      </x:fill>
    </x:dxf>
    <x:dxf>
      <x:font>
        <x:b/>
        <x:color rgb="FFD93025"/>
      </x:font>
      <x:fill>
        <x:patternFill patternType="solid">
          <x:bgColor rgb="FFFCE8E6"/>
        </x:patternFill>
      </x:fill>
    </x:dxf>
    <x:dxf>
      <x:font>
        <x:b/>
        <x:color rgb="FF7E57C2"/>
      </x:font>
      <x:fill>
        <x:patternFill patternType="solid">
          <x:bgColor rgb="FFF3E8FD"/>
        </x:patternFill>
      </x:fill>
    </x:dxf>
    <x:dxf>
      <x:font>
        <x:b/>
        <x:color rgb="FF188038"/>
      </x:font>
      <x:fill>
        <x:patternFill patternType="solid">
          <x:bgColor rgb="FFE6F4EA"/>
        </x:patternFill>
      </x:fill>
    </x:dxf>
    <x:dxf>
      <x:font>
        <x:b/>
        <x:color rgb="FFD93025"/>
      </x:font>
      <x:fill>
        <x:patternFill patternType="solid">
          <x:bgColor rgb="FFFCE8E6"/>
        </x:patternFill>
      </x:fill>
    </x:dxf>
    <x:dxf>
      <x:font>
        <x:b/>
        <x:color rgb="FF8A4B00"/>
      </x:font>
      <x:fill>
        <x:patternFill patternType="solid">
          <x:bgColor rgb="FFFEF7E0"/>
        </x:patternFill>
      </x:fill>
    </x:dxf>
    <x:dxf>
      <x:font>
        <x:b/>
        <x:color rgb="FF188038"/>
      </x:font>
      <x:fill>
        <x:patternFill patternType="solid">
          <x:bgColor rgb="FFE6F4EA"/>
        </x:patternFill>
      </x:fill>
    </x:dxf>
    <x:dxf>
      <x:font>
        <x:b/>
        <x:color rgb="FFD93025"/>
      </x:font>
      <x:fill>
        <x:patternFill patternType="solid">
          <x:bgColor rgb="FFFCE8E6"/>
        </x:patternFill>
      </x:fill>
    </x:dxf>
    <x:dxf>
      <x:font>
        <x:b/>
        <x:color rgb="FF8A4B00"/>
      </x:font>
      <x:fill>
        <x:patternFill patternType="solid">
          <x:bgColor rgb="FFFEF7E0"/>
        </x:patternFill>
      </x:fill>
    </x:dxf>
    <x:dxf>
      <x:font>
        <x:b/>
        <x:color rgb="FF188038"/>
      </x:font>
      <x:fill>
        <x:patternFill patternType="solid">
          <x:bgColor rgb="FFE6F4EA"/>
        </x:patternFill>
      </x:fill>
    </x:dxf>
    <x:dxf>
      <x:font>
        <x:b/>
        <x:color rgb="FF0B5C2E"/>
      </x:font>
      <x:fill>
        <x:patternFill patternType="solid">
          <x:bgColor rgb="FFC6E7D1"/>
        </x:patternFill>
      </x:fill>
    </x:dxf>
    <x:dxf>
      <x:font>
        <x:b/>
        <x:color rgb="FF1457A6"/>
      </x:font>
      <x:fill>
        <x:patternFill patternType="solid">
          <x:bgColor rgb="FFDCEBFF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  <x:dxf>
      <x:font>
        <x:b/>
        <x:color rgb="FFD93025"/>
      </x:font>
      <x:fill>
        <x:patternFill patternType="solid">
          <x:bgColor rgb="FFFCE8E6"/>
        </x:patternFill>
      </x:fill>
    </x:dxf>
    <x:dxf>
      <x:font>
        <x:b/>
        <x:color rgb="FF8A4B00"/>
      </x:font>
      <x:fill>
        <x:patternFill patternType="solid">
          <x:bgColor rgb="FFFEF7E0"/>
        </x:patternFill>
      </x:fill>
    </x:dxf>
    <x:dxf>
      <x:font>
        <x:b/>
        <x:color rgb="FF188038"/>
      </x:font>
      <x:fill>
        <x:patternFill patternType="solid">
          <x:bgColor rgb="FFE6F4EA"/>
        </x:patternFill>
      </x:fill>
    </x:dxf>
    <x:dxf>
      <x:font>
        <x:b/>
        <x:color rgb="FFD93025"/>
      </x:font>
      <x:fill>
        <x:patternFill patternType="solid">
          <x:bgColor rgb="FFFCE8E6"/>
        </x:patternFill>
      </x:fill>
    </x:dxf>
    <x:dxf>
      <x:font>
        <x:b/>
        <x:color rgb="FF8A4B00"/>
      </x:font>
      <x:fill>
        <x:patternFill patternType="solid">
          <x:bgColor rgb="FFFEF7E0"/>
        </x:patternFill>
      </x:fill>
    </x:dxf>
    <x:dxf>
      <x:font>
        <x:b/>
        <x:color rgb="FF188038"/>
      </x:font>
      <x:fill>
        <x:patternFill patternType="solid">
          <x:bgColor rgb="FFE6F4EA"/>
        </x:patternFill>
      </x:fill>
    </x:dxf>
    <x:dxf>
      <x:font>
        <x:b/>
        <x:color rgb="FF188038"/>
      </x:font>
      <x:fill>
        <x:patternFill patternType="solid">
          <x:bgColor rgb="FFE6F4EA"/>
        </x:patternFill>
      </x:fill>
    </x:dxf>
    <x:dxf>
      <x:font>
        <x:b/>
        <x:color rgb="FFD93025"/>
      </x:font>
      <x:fill>
        <x:patternFill patternType="solid">
          <x:bgColor rgb="FFFCE8E6"/>
        </x:patternFill>
      </x:fill>
    </x:dxf>
    <x:dxf>
      <x:font>
        <x:b/>
        <x:color rgb="FF8A4B00"/>
      </x:font>
      <x:fill>
        <x:patternFill patternType="solid">
          <x:bgColor rgb="FFFEF7E0"/>
        </x:patternFill>
      </x:fill>
    </x:dxf>
    <x:dxf>
      <x:font>
        <x:b/>
        <x:color rgb="FFD93025"/>
      </x:font>
      <x:fill>
        <x:patternFill patternType="solid">
          <x:bgColor rgb="FFFCE8E6"/>
        </x:patternFill>
      </x:fill>
    </x:dxf>
    <x:dxf>
      <x:font>
        <x:b/>
        <x:color rgb="FF8A4B00"/>
      </x:font>
      <x:fill>
        <x:patternFill patternType="solid">
          <x:bgColor rgb="FFFEF7E0"/>
        </x:patternFill>
      </x:fill>
    </x:dxf>
    <x:dxf>
      <x:font>
        <x:b/>
        <x:color rgb="FF188038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62c22359a4027" /><Relationship Type="http://schemas.openxmlformats.org/officeDocument/2006/relationships/theme" Target="/xl/theme/theme1.xml" Id="R3f50fbb45ba24ab8" /><Relationship Type="http://schemas.openxmlformats.org/officeDocument/2006/relationships/sharedStrings" Target="/xl/sharedStrings.xml" Id="Rd05878a7a51d4134" /><Relationship Type="http://schemas.openxmlformats.org/officeDocument/2006/relationships/worksheet" Target="/xl/worksheets/sheet1.xml" Id="R0a4958bdd9b04f16" /><Relationship Type="http://schemas.openxmlformats.org/officeDocument/2006/relationships/worksheet" Target="/xl/worksheets/sheet2.xml" Id="R97dcc349fe6940a2" /><Relationship Type="http://schemas.openxmlformats.org/officeDocument/2006/relationships/worksheet" Target="/xl/worksheets/sheet3.xml" Id="R6bb38be2aefe4db2" /><Relationship Type="http://schemas.openxmlformats.org/officeDocument/2006/relationships/worksheet" Target="/xl/worksheets/sheet4.xml" Id="Rc9263a27ef1b49f1" /><Relationship Type="http://schemas.openxmlformats.org/officeDocument/2006/relationships/worksheet" Target="/xl/worksheets/sheet5.xml" Id="Ra615e4b44f694bb9" /><Relationship Type="http://schemas.openxmlformats.org/officeDocument/2006/relationships/worksheet" Target="/xl/worksheets/sheet6.xml" Id="R0575a056064c4a50" /><Relationship Type="http://schemas.openxmlformats.org/officeDocument/2006/relationships/worksheet" Target="/xl/worksheets/sheet7.xml" Id="R59040dfaa2c54a4e" /><Relationship Type="http://schemas.openxmlformats.org/officeDocument/2006/relationships/worksheet" Target="/xl/worksheets/sheet8.xml" Id="Raf08153efd5b4643" /><Relationship Type="http://schemas.openxmlformats.org/officeDocument/2006/relationships/worksheet" Target="/xl/worksheets/sheet9.xml" Id="Re83686b9547944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c2f0c504504d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Existing 50 — Action Mix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'Executive Summary'!$A$16:$A$19</c:f>
              <c:strCache>
                <c:ptCount val="0"/>
              </c:strCache>
            </c:strRef>
          </c:cat>
          <c:val>
            <c:numRef>
              <c:f>'Executive Summary'!$B$16:$B$19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c2f0c504504d5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talogMaster60Table" displayName="CatalogMaster60Table" ref="A6:Y66" headerRowCount="1" totalsRowCount="0" totalsRowShown="0">
  <x:tableColumns count="25">
    <x:tableColumn id="1" name="Portfolio"/>
    <x:tableColumn id="2" name="Blueprint #"/>
    <x:tableColumn id="3" name="Blueprint ID"/>
    <x:tableColumn id="4" name="Current Name"/>
    <x:tableColumn id="5" name="Decision"/>
    <x:tableColumn id="6" name="Action Class"/>
    <x:tableColumn id="7" name="Proposed Name"/>
    <x:tableColumn id="8" name="Primary Document Pack"/>
    <x:tableColumn id="9" name="Secondary Document Packs"/>
    <x:tableColumn id="10" name="Canonical Domain"/>
    <x:tableColumn id="11" name="Architecture Concerns"/>
    <x:tableColumn id="12" name="Abstraction"/>
    <x:tableColumn id="13" name="Lifecycle"/>
    <x:tableColumn id="14" name="Notation"/>
    <x:tableColumn id="15" name="Cloud Scope"/>
    <x:tableColumn id="16" name="Complexity"/>
    <x:tableColumn id="17" name="What We Have"/>
    <x:tableColumn id="18" name="What Must Change"/>
    <x:tableColumn id="19" name="What Should Be Removed"/>
    <x:tableColumn id="20" name="What Should Be Added"/>
    <x:tableColumn id="21" name="Related / Duplicate With"/>
    <x:tableColumn id="22" name="Visual Rebuild?"/>
    <x:tableColumn id="23" name="Priority"/>
    <x:tableColumn id="24" name="Batch 3 Phase"/>
    <x:tableColumn id="25" name="QA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isting50RemediationTable" displayName="Existing50RemediationTable" ref="A6:N56" headerRowCount="1" totalsRowCount="0" totalsRowShown="0">
  <x:tableColumns count="14">
    <x:tableColumn id="1" name="#"/>
    <x:tableColumn id="2" name="Blueprint ID"/>
    <x:tableColumn id="3" name="Current Name"/>
    <x:tableColumn id="4" name="Decision"/>
    <x:tableColumn id="5" name="Proposed Name"/>
    <x:tableColumn id="6" name="What We Have"/>
    <x:tableColumn id="7" name="What Must Change"/>
    <x:tableColumn id="8" name="What Should Be Removed"/>
    <x:tableColumn id="9" name="What Should Be Added"/>
    <x:tableColumn id="10" name="Related / Duplicate With"/>
    <x:tableColumn id="11" name="Visual Rebuild?"/>
    <x:tableColumn id="12" name="Priority"/>
    <x:tableColumn id="13" name="Batch 3 Phase"/>
    <x:tableColumn id="14" name="QA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posed51to60Table" displayName="Proposed51to60Table" ref="A6:P16" headerRowCount="1" totalsRowCount="0" totalsRowShown="0">
  <x:tableColumns count="16">
    <x:tableColumn id="1" name="#"/>
    <x:tableColumn id="2" name="Proposed ID"/>
    <x:tableColumn id="3" name="Template Name"/>
    <x:tableColumn id="4" name="Why It Is Distinct"/>
    <x:tableColumn id="5" name="Primary Document Pack"/>
    <x:tableColumn id="6" name="Secondary Packs"/>
    <x:tableColumn id="7" name="Domain"/>
    <x:tableColumn id="8" name="Architecture Concerns"/>
    <x:tableColumn id="9" name="Abstraction"/>
    <x:tableColumn id="10" name="Lifecycle"/>
    <x:tableColumn id="11" name="Notation"/>
    <x:tableColumn id="12" name="Cloud Scope"/>
    <x:tableColumn id="13" name="Complexity"/>
    <x:tableColumn id="14" name="Must Show"/>
    <x:tableColumn id="15" name="Avoid / Non-goal"/>
    <x:tableColumn id="16" name="Prior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ocumentPackMatrixTable" displayName="DocumentPackMatrixTable" ref="A6:S66" headerRowCount="1" totalsRowCount="0" totalsRowShown="0">
  <x:tableColumns count="19">
    <x:tableColumn id="1" name="Portfolio"/>
    <x:tableColumn id="2" name="#"/>
    <x:tableColumn id="3" name="Blueprint"/>
    <x:tableColumn id="4" name="Executive Architecture Brief"/>
    <x:tableColumn id="5" name="BRD"/>
    <x:tableColumn id="6" name="PRD"/>
    <x:tableColumn id="7" name="FDD"/>
    <x:tableColumn id="8" name="HLD"/>
    <x:tableColumn id="9" name="LLD / TDD"/>
    <x:tableColumn id="10" name="Network Design"/>
    <x:tableColumn id="11" name="Security Architecture"/>
    <x:tableColumn id="12" name="IAM Design"/>
    <x:tableColumn id="13" name="Data Architecture"/>
    <x:tableColumn id="14" name="AI / Agentic Architecture"/>
    <x:tableColumn id="15" name="HA / DR Plan"/>
    <x:tableColumn id="16" name="Release / Cutover Plan"/>
    <x:tableColumn id="17" name="Operations / SRE"/>
    <x:tableColumn id="18" name="COE / Operating Model"/>
    <x:tableColumn id="19" name="Industry Solution Architectu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rchitectureProfileTable" displayName="ArchitectureProfileTable" ref="A13:H73" headerRowCount="1" totalsRowCount="0" totalsRowShown="0">
  <x:tableColumns count="8">
    <x:tableColumn id="1" name="#"/>
    <x:tableColumn id="2" name="Blueprint"/>
    <x:tableColumn id="3" name="Abstraction"/>
    <x:tableColumn id="4" name="Lifecycle"/>
    <x:tableColumn id="5" name="Notation"/>
    <x:tableColumn id="6" name="Cloud Scope"/>
    <x:tableColumn id="7" name="Complexity"/>
    <x:tableColumn id="8" name="Canonical Domai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ACertificationTable" displayName="QACertificationTable" ref="A15:K75" headerRowCount="1" totalsRowCount="0" totalsRowShown="0">
  <x:tableColumns count="11">
    <x:tableColumn id="1" name="#"/>
    <x:tableColumn id="2" name="Blueprint"/>
    <x:tableColumn id="3" name="Priority"/>
    <x:tableColumn id="4" name="Technical Accuracy"/>
    <x:tableColumn id="5" name="Architecture Completeness"/>
    <x:tableColumn id="6" name="Flow Clarity"/>
    <x:tableColumn id="7" name="Visual Quality"/>
    <x:tableColumn id="8" name="Uniqueness"/>
    <x:tableColumn id="9" name="Document Usefulness"/>
    <x:tableColumn id="10" name="Rendering Quality"/>
    <x:tableColumn id="11" name="Overall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7a2ee2ec2b14e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b074703c2f4d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d49cff129d43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e6a211651d42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f3c5d767bd43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992bfa244c342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0b1c36c7985f44f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4" max="4" width="22" hidden="0" customWidth="1"/>
    <x:col min="5" max="5" width="24" hidden="0" customWidth="1"/>
    <x:col min="6" max="6" width="58" hidden="0" customWidth="1"/>
    <x:col min="8" max="8" width="10" hidden="0" customWidth="1"/>
    <x:col min="9" max="9" width="28" hidden="0" customWidth="1"/>
    <x:col min="10" max="10" width="58" hidden="0" customWidth="1"/>
  </x:cols>
  <x:sheetData>
    <x:row r="1" ht="28" customHeight="1">
      <x:c r="A1" s="4" t="str">
        <x:v>PromptCanvas Architecture Catalog — Mapping, Rationalization &amp; Batch 3 Control Plan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11" t="str">
        <x:v>Self-contained executive view of the 50 current blueprints, 10 proposed additions, three-dimensional taxonomy, remediation priorities and execution approach.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 ht="28" customHeight="1">
      <x:c r="A3" s="18" t="str">
        <x:v>Three dimensions: (1) Document/Deliverable Pack = where a diagram is used; (2) Architecture Domain = its canonical technical home; (3) Architecture Profile = abstraction, lifecycle, notation, cloud scope and complexity.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 ht="28" customHeight="1">
      <x:c r="A4" s="18" t="str">
        <x:v>Portfolio rule: do not delete any current blueprint immediately. Rebuild or differentiate first; only merge/retire after live QA proves two templates remain materially redundant.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</x:row>
    <x:row r="6" ht="34" customHeight="1">
      <x:c r="A6" s="30" t="str">
        <x:v>KPI</x:v>
      </x:c>
      <x:c r="B6" s="31" t="str">
        <x:v>Value</x:v>
      </x:c>
      <x:c r="D6" s="88" t="str">
        <x:v>Recommended Product Information Architecture</x:v>
      </x:c>
      <x:c r="E6" s="88"/>
      <x:c r="F6" s="88"/>
      <x:c r="H6" s="122" t="str">
        <x:v>Batch 3 — Combined Rationalization &amp; Rebuild</x:v>
      </x:c>
      <x:c r="I6" s="122"/>
      <x:c r="J6" s="122"/>
    </x:row>
    <x:row r="7">
      <x:c r="A7" s="80" t="str">
        <x:v>Existing blueprints</x:v>
      </x:c>
      <x:c r="B7" s="56" t="n">
        <x:f>COUNTIF('Catalog Master 60'!$A$7:$A$66,"Existing")</x:f>
        <x:v>50</x:v>
      </x:c>
      <x:c r="D7" s="108" t="str">
        <x:v>Primary customer entry</x:v>
      </x:c>
      <x:c r="E7" s="114" t="str">
        <x:v>Create by Deliverable</x:v>
      </x:c>
      <x:c r="F7" s="56" t="str">
        <x:v>Executive Brief, BRD, PRD, FDD, HLD, LLD/TDD, Network, Security, IAM, Data, AI/Agentic, HA/DR, Release, Operations/SRE, COE, Industry</x:v>
      </x:c>
      <x:c r="H7" s="55" t="str">
        <x:v>3.1</x:v>
      </x:c>
      <x:c r="I7" s="97" t="str">
        <x:v>Critical rebuilds</x:v>
      </x:c>
      <x:c r="J7" s="56" t="str">
        <x:v>#6, #20, #37, #50</x:v>
      </x:c>
    </x:row>
    <x:row r="8">
      <x:c r="A8" s="81" t="str">
        <x:v>Proposed new blueprints</x:v>
      </x:c>
      <x:c r="B8" s="58" t="n">
        <x:f>COUNTIF('Catalog Master 60'!$A$7:$A$66,"Proposed")</x:f>
        <x:v>10</x:v>
      </x:c>
      <x:c r="D8" s="109" t="str">
        <x:v>Secondary browse</x:v>
      </x:c>
      <x:c r="E8" s="115" t="str">
        <x:v>Browse by Architecture Domain</x:v>
      </x:c>
      <x:c r="F8" s="58" t="str">
        <x:v>Strategy; App &amp; Integration; Data &amp; Analytics; AI &amp; Agentic; Cloud/Networking; Security/Identity; Reliability; DevSecOps; Operating Model; Standards; Industry</x:v>
      </x:c>
      <x:c r="H8" s="57" t="str">
        <x:v>3.2</x:v>
      </x:c>
      <x:c r="I8" s="98" t="str">
        <x:v>Technical accuracy cleanup</x:v>
      </x:c>
      <x:c r="J8" s="58" t="str">
        <x:v>Product naming, responsibilities, taxonomy, misleading flows</x:v>
      </x:c>
    </x:row>
    <x:row r="9">
      <x:c r="A9" s="81" t="str">
        <x:v>Target mapped catalog</x:v>
      </x:c>
      <x:c r="B9" s="58" t="n">
        <x:f>COUNTA('Catalog Master 60'!$B$7:$B$66)</x:f>
        <x:v>60</x:v>
      </x:c>
      <x:c r="D9" s="109" t="str">
        <x:v>Filters</x:v>
      </x:c>
      <x:c r="E9" s="115" t="str">
        <x:v>Architecture Profile</x:v>
      </x:c>
      <x:c r="F9" s="58" t="str">
        <x:v>Conceptual / Logical / Deployment / Process / Data Model; lifecycle; notation; cloud scope; complexity</x:v>
      </x:c>
      <x:c r="H9" s="57" t="str">
        <x:v>3.3</x:v>
      </x:c>
      <x:c r="I9" s="98" t="str">
        <x:v>Duplication/rationalization</x:v>
      </x:c>
      <x:c r="J9" s="58" t="str">
        <x:v>#39 vs #42; then overlap audit across event/agent/security patterns</x:v>
      </x:c>
    </x:row>
    <x:row r="10">
      <x:c r="A10" s="81" t="str">
        <x:v>P0 items</x:v>
      </x:c>
      <x:c r="B10" s="58" t="n">
        <x:f>COUNTIF('Catalog Master 60'!$W$7:$W$66,"P0")</x:f>
        <x:v>15</x:v>
      </x:c>
      <x:c r="D10" s="109" t="str">
        <x:v>Portfolio strategy</x:v>
      </x:c>
      <x:c r="E10" s="115" t="str">
        <x:v>Freeze at 50 before expansion</x:v>
      </x:c>
      <x:c r="F10" s="58" t="str">
        <x:v>Certify the current 50 first. Then add only the 10 documented gaps as #51–60.</x:v>
      </x:c>
      <x:c r="H10" s="57" t="str">
        <x:v>3.4</x:v>
      </x:c>
      <x:c r="I10" s="98" t="str">
        <x:v>Architecture completeness</x:v>
      </x:c>
      <x:c r="J10" s="58" t="str">
        <x:v>Security, IAM, observability, failure paths, resilience, governance</x:v>
      </x:c>
    </x:row>
    <x:row r="11">
      <x:c r="A11" s="81" t="str">
        <x:v>Rebuild items (existing)</x:v>
      </x:c>
      <x:c r="B11" s="58" t="n">
        <x:f>COUNTIFS('Catalog Master 60'!$A$7:$A$66,"Existing",'Catalog Master 60'!$F$7:$F$66,"REBUILD")</x:f>
        <x:v>9</x:v>
      </x:c>
      <x:c r="D11" s="110" t="str">
        <x:v>Differentiation principle</x:v>
      </x:c>
      <x:c r="E11" s="116" t="str">
        <x:v>One template = one architecture problem</x:v>
      </x:c>
      <x:c r="F11" s="60" t="str">
        <x:v>Use many-to-many document-pack mappings instead of duplicating templates by document type.</x:v>
      </x:c>
      <x:c r="H11" s="57" t="str">
        <x:v>3.5</x:v>
      </x:c>
      <x:c r="I11" s="98" t="str">
        <x:v>Visual fidelity</x:v>
      </x:c>
      <x:c r="J11" s="58" t="str">
        <x:v>Bring weak templates to #26/#31 quality bar</x:v>
      </x:c>
    </x:row>
    <x:row r="12">
      <x:c r="A12" s="81" t="str">
        <x:v>Differentiate items</x:v>
      </x:c>
      <x:c r="B12" s="58" t="n">
        <x:f>COUNTIF('Catalog Master 60'!$F$7:$F$66,"DIFFERENTIATE")</x:f>
        <x:v>2</x:v>
      </x:c>
      <x:c r="H12" s="59" t="str">
        <x:v>3.6</x:v>
      </x:c>
      <x:c r="I12" s="99" t="str">
        <x:v>QA certification</x:v>
      </x:c>
      <x:c r="J12" s="60" t="str">
        <x:v>Uniqueness, technical accuracy, resolver, mobile/desktop rendering</x:v>
      </x:c>
    </x:row>
    <x:row r="13">
      <x:c r="A13" s="82" t="str">
        <x:v>Reference-quality keepers</x:v>
      </x:c>
      <x:c r="B13" s="60" t="n">
        <x:f>COUNTIF('Catalog Master 60'!$E$7:$E$66,"KEEP — REFERENCE")</x:f>
        <x:v>2</x:v>
      </x:c>
    </x:row>
    <x:row r="15" ht="34" customHeight="1">
      <x:c r="A15" s="30" t="str">
        <x:v>Existing-50 Action Class</x:v>
      </x:c>
      <x:c r="B15" s="31" t="str">
        <x:v>Count</x:v>
      </x:c>
    </x:row>
    <x:row r="16">
      <x:c r="A16" s="55" t="str">
        <x:v>KEEP</x:v>
      </x:c>
      <x:c r="B16" s="56" t="n">
        <x:f>COUNTIFS('Catalog Master 60'!$A$7:$A$66,"Existing",'Catalog Master 60'!$F$7:$F$66,A16)</x:f>
        <x:v>24</x:v>
      </x:c>
    </x:row>
    <x:row r="17">
      <x:c r="A17" s="57" t="str">
        <x:v>CHANGE</x:v>
      </x:c>
      <x:c r="B17" s="58" t="n">
        <x:f>COUNTIFS('Catalog Master 60'!$A$7:$A$66,"Existing",'Catalog Master 60'!$F$7:$F$66,A17)</x:f>
        <x:v>15</x:v>
      </x:c>
    </x:row>
    <x:row r="18">
      <x:c r="A18" s="57" t="str">
        <x:v>REBUILD</x:v>
      </x:c>
      <x:c r="B18" s="58" t="n">
        <x:f>COUNTIFS('Catalog Master 60'!$A$7:$A$66,"Existing",'Catalog Master 60'!$F$7:$F$66,A18)</x:f>
        <x:v>9</x:v>
      </x:c>
    </x:row>
    <x:row r="19">
      <x:c r="A19" s="59" t="str">
        <x:v>DIFFERENTIATE</x:v>
      </x:c>
      <x:c r="B19" s="60" t="n">
        <x:f>COUNTIFS('Catalog Master 60'!$A$7:$A$66,"Existing",'Catalog Master 60'!$F$7:$F$66,A19)</x:f>
        <x:v>2</x:v>
      </x:c>
    </x:row>
    <x:row r="21" ht="44" customHeight="1">
      <x:c r="A21" s="128" t="str">
        <x:v>Execution rule: Analyze current → define intent → generate PNG → approve → implement editable Draw.io XML → deploy → visually compare live render → certify. Do not mark a rebuild complete before live visual comparison passes.</x:v>
      </x:c>
      <x:c r="B21" s="128"/>
      <x:c r="C21" s="128"/>
      <x:c r="D21" s="128"/>
      <x:c r="E21" s="128"/>
      <x:c r="F21" s="128"/>
      <x:c r="G21" s="128"/>
      <x:c r="H21" s="128"/>
      <x:c r="I21" s="128"/>
      <x:c r="J21" s="128"/>
      <x:c r="K21" s="128"/>
      <x:c r="L21" s="128"/>
    </x:row>
  </x:sheetData>
  <x:mergeCells>
    <x:mergeCell ref="A1:L1"/>
    <x:mergeCell ref="A2:L2"/>
    <x:mergeCell ref="A3:L3"/>
    <x:mergeCell ref="A4:L4"/>
    <x:mergeCell ref="D6:F6"/>
    <x:mergeCell ref="H6:J6"/>
    <x:mergeCell ref="A21:L21"/>
  </x:mergeCells>
  <x:pageMargins left="0.7" right="0.7" top="0.75" bottom="0.75" header="0.3" footer="0.3"/>
  <x:drawing xmlns:r="http://schemas.openxmlformats.org/officeDocument/2006/relationships" r:id="Rc7a2ee2ec2b14e9d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34" hidden="0" customWidth="1"/>
    <x:col min="4" max="4" width="36" hidden="0" customWidth="1"/>
    <x:col min="5" max="5" width="20" hidden="0" customWidth="1"/>
    <x:col min="6" max="6" width="15" hidden="0" customWidth="1"/>
    <x:col min="7" max="7" width="38" hidden="0" customWidth="1"/>
    <x:col min="8" max="8" width="28" hidden="0" customWidth="1"/>
    <x:col min="9" max="9" width="44" hidden="0" customWidth="1"/>
    <x:col min="10" max="10" width="30" hidden="0" customWidth="1"/>
    <x:col min="11" max="11" width="40" hidden="0" customWidth="1"/>
    <x:col min="12" max="12" width="16" hidden="0" customWidth="1"/>
    <x:col min="13" max="13" width="26" hidden="0" customWidth="1"/>
    <x:col min="14" max="14" width="30" hidden="0" customWidth="1"/>
    <x:col min="15" max="15" width="22" hidden="0" customWidth="1"/>
    <x:col min="16" max="16" width="13" hidden="0" customWidth="1"/>
    <x:col min="17" max="17" width="44" hidden="0" customWidth="1"/>
    <x:col min="18" max="18" width="48" hidden="0" customWidth="1"/>
    <x:col min="19" max="19" width="46" hidden="0" customWidth="1"/>
    <x:col min="20" max="20" width="54" hidden="0" customWidth="1"/>
    <x:col min="21" max="21" width="40" hidden="0" customWidth="1"/>
    <x:col min="22" max="22" width="14" hidden="0" customWidth="1"/>
    <x:col min="23" max="23" width="10" hidden="0" customWidth="1"/>
    <x:col min="24" max="24" width="32" hidden="0" customWidth="1"/>
    <x:col min="25" max="25" width="28" hidden="0" customWidth="1"/>
  </x:cols>
  <x:sheetData>
    <x:row r="1" ht="28" customHeight="1">
      <x:c r="A1" s="4" t="str">
        <x:v>Catalog Master Matrix — 50 Existing + 10 Proposed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</x:row>
    <x:row r="2" ht="34" customHeight="1">
      <x:c r="A2" s="11" t="str">
        <x:v>Single control table across all three dimensions plus remediation actions. This tab is the canonical portfolio inventory for product taxonomy and Batch 3.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</x:row>
    <x:row r="3" ht="28" customHeight="1">
      <x:c r="A3" s="18" t="str">
        <x:v>Decision: KEEP = retain; CHANGE = materially revise content/taxonomy; REBUILD = redesign architecture from first principles; DIFFERENTIATE = remove overlap; ADD = proposed new template.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</x:row>
    <x:row r="4" ht="28" customHeight="1">
      <x:c r="A4" s="18" t="str">
        <x:v>Profile: Abstraction = Conceptual/Logical/Deployment/Process/Data Model. Lifecycle = Discover/Define/Design/Build/Release/Operate/Optimize. Complexity = Executive/Standard/Detailed.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</x:row>
    <x:row r="6" ht="34" customHeight="1">
      <x:c r="A6" s="30" t="str">
        <x:v>Portfolio</x:v>
      </x:c>
      <x:c r="B6" s="135" t="str">
        <x:v>Blueprint #</x:v>
      </x:c>
      <x:c r="C6" s="135" t="str">
        <x:v>Blueprint ID</x:v>
      </x:c>
      <x:c r="D6" s="135" t="str">
        <x:v>Current Name</x:v>
      </x:c>
      <x:c r="E6" s="135" t="str">
        <x:v>Decision</x:v>
      </x:c>
      <x:c r="F6" s="135" t="str">
        <x:v>Action Class</x:v>
      </x:c>
      <x:c r="G6" s="135" t="str">
        <x:v>Proposed Name</x:v>
      </x:c>
      <x:c r="H6" s="135" t="str">
        <x:v>Primary Document Pack</x:v>
      </x:c>
      <x:c r="I6" s="135" t="str">
        <x:v>Secondary Document Packs</x:v>
      </x:c>
      <x:c r="J6" s="135" t="str">
        <x:v>Canonical Domain</x:v>
      </x:c>
      <x:c r="K6" s="135" t="str">
        <x:v>Architecture Concerns</x:v>
      </x:c>
      <x:c r="L6" s="135" t="str">
        <x:v>Abstraction</x:v>
      </x:c>
      <x:c r="M6" s="135" t="str">
        <x:v>Lifecycle</x:v>
      </x:c>
      <x:c r="N6" s="135" t="str">
        <x:v>Notation</x:v>
      </x:c>
      <x:c r="O6" s="135" t="str">
        <x:v>Cloud Scope</x:v>
      </x:c>
      <x:c r="P6" s="135" t="str">
        <x:v>Complexity</x:v>
      </x:c>
      <x:c r="Q6" s="135" t="str">
        <x:v>What We Have</x:v>
      </x:c>
      <x:c r="R6" s="135" t="str">
        <x:v>What Must Change</x:v>
      </x:c>
      <x:c r="S6" s="135" t="str">
        <x:v>What Should Be Removed</x:v>
      </x:c>
      <x:c r="T6" s="135" t="str">
        <x:v>What Should Be Added</x:v>
      </x:c>
      <x:c r="U6" s="135" t="str">
        <x:v>Related / Duplicate With</x:v>
      </x:c>
      <x:c r="V6" s="135" t="str">
        <x:v>Visual Rebuild?</x:v>
      </x:c>
      <x:c r="W6" s="135" t="str">
        <x:v>Priority</x:v>
      </x:c>
      <x:c r="X6" s="135" t="str">
        <x:v>Batch 3 Phase</x:v>
      </x:c>
      <x:c r="Y6" s="31" t="str">
        <x:v>QA Status</x:v>
      </x:c>
    </x:row>
    <x:row r="7" ht="62" customHeight="1">
      <x:c r="A7" s="55" t="str">
        <x:v>Existing</x:v>
      </x:c>
      <x:c r="B7" s="97" t="n">
        <x:v>1</x:v>
      </x:c>
      <x:c r="C7" s="97" t="str">
        <x:v>P1-APP-L-01_legacy_data_dependency_map</x:v>
      </x:c>
      <x:c r="D7" s="97" t="str">
        <x:v>Google Cloud Discovery &amp; Assessment: Legacy Silos to Modern Migration Waves</x:v>
      </x:c>
      <x:c r="E7" s="97" t="str">
        <x:v>CHANGE</x:v>
      </x:c>
      <x:c r="F7" s="97" t="str">
        <x:v>CHANGE</x:v>
      </x:c>
      <x:c r="G7" s="97" t="str">
        <x:v>Legacy Data Dependency &amp; Migration Wave Map</x:v>
      </x:c>
      <x:c r="H7" s="97" t="str">
        <x:v>Executive Architecture Brief</x:v>
      </x:c>
      <x:c r="I7" s="97" t="str">
        <x:v>BRD; HLD; Migration Plan</x:v>
      </x:c>
      <x:c r="J7" s="97" t="str">
        <x:v>Enterprise Strategy &amp; Transformation</x:v>
      </x:c>
      <x:c r="K7" s="97" t="str">
        <x:v>Dependencies; migration sequencing; ownership; risk</x:v>
      </x:c>
      <x:c r="L7" s="97" t="str">
        <x:v>Conceptual</x:v>
      </x:c>
      <x:c r="M7" s="97" t="str">
        <x:v>Discover; Define</x:v>
      </x:c>
      <x:c r="N7" s="97" t="str">
        <x:v>Dependency Map / Migration Waves</x:v>
      </x:c>
      <x:c r="O7" s="97" t="str">
        <x:v>Hybrid</x:v>
      </x:c>
      <x:c r="P7" s="97" t="str">
        <x:v>Executive</x:v>
      </x:c>
      <x:c r="Q7" s="97" t="str">
        <x:v>Legacy silos, system dependencies and migration waves are represented.</x:v>
      </x:c>
      <x:c r="R7" s="97" t="str">
        <x:v>Make dependency direction, criticality and migration sequencing immediately understandable.</x:v>
      </x:c>
      <x:c r="S7" s="97" t="str">
        <x:v>Decorative cloud blocks, ambiguous arrows and any implication that migration order is arbitrary.</x:v>
      </x:c>
      <x:c r="T7" s="97" t="str">
        <x:v>System owners; dependency types; business criticality; migration-wave criteria; blockers; risk/complexity indicators.</x:v>
      </x:c>
      <x:c r="U7" s="97" t="str">
        <x:v>Related to #29 6Rs Migration Matrix, but this is dependency/wave sequencing.</x:v>
      </x:c>
      <x:c r="V7" s="97" t="str">
        <x:v>Partial</x:v>
      </x:c>
      <x:c r="W7" s="97" t="str">
        <x:v>P1</x:v>
      </x:c>
      <x:c r="X7" s="97" t="str">
        <x:v>3.2 Technical Accuracy Cleanup</x:v>
      </x:c>
      <x:c r="Y7" s="56" t="str">
        <x:v>Not Reviewed</x:v>
      </x:c>
    </x:row>
    <x:row r="8" ht="62" customHeight="1">
      <x:c r="A8" s="57" t="str">
        <x:v>Existing</x:v>
      </x:c>
      <x:c r="B8" s="98" t="n">
        <x:v>2</x:v>
      </x:c>
      <x:c r="C8" s="98" t="str">
        <x:v>P1-APP-L-02_hybrid_strangler_fig_transition</x:v>
      </x:c>
      <x:c r="D8" s="98" t="str">
        <x:v>Hybrid / Strangler Fig Transition Architecture</x:v>
      </x:c>
      <x:c r="E8" s="98" t="str">
        <x:v>KEEP + POLISH</x:v>
      </x:c>
      <x:c r="F8" s="98" t="str">
        <x:v>KEEP</x:v>
      </x:c>
      <x:c r="G8" s="98" t="str">
        <x:v>Hybrid / Strangler Fig Transition Architecture</x:v>
      </x:c>
      <x:c r="H8" s="98" t="str">
        <x:v>HLD</x:v>
      </x:c>
      <x:c r="I8" s="98" t="str">
        <x:v>PRD; Application Modernization Plan; LLD</x:v>
      </x:c>
      <x:c r="J8" s="98" t="str">
        <x:v>Application &amp; Integration</x:v>
      </x:c>
      <x:c r="K8" s="98" t="str">
        <x:v>Modernization; routing; coexistence; rollback</x:v>
      </x:c>
      <x:c r="L8" s="98" t="str">
        <x:v>Logical</x:v>
      </x:c>
      <x:c r="M8" s="98" t="str">
        <x:v>Design; Build</x:v>
      </x:c>
      <x:c r="N8" s="98" t="str">
        <x:v>Transition Architecture / Data Flow</x:v>
      </x:c>
      <x:c r="O8" s="98" t="str">
        <x:v>Hybrid</x:v>
      </x:c>
      <x:c r="P8" s="98" t="str">
        <x:v>Standard</x:v>
      </x:c>
      <x:c r="Q8" s="98" t="str">
        <x:v>A classic strangler pattern showing legacy and modern services during transition.</x:v>
      </x:c>
      <x:c r="R8" s="98" t="str">
        <x:v>Make active routing, fallback and data ownership explicit.</x:v>
      </x:c>
      <x:c r="S8" s="98" t="str">
        <x:v>Any implication that every database call must traverse the API gateway.</x:v>
      </x:c>
      <x:c r="T8" s="98" t="str">
        <x:v>Routing rules; feature flags; coexistence periods; rollback path; observability; data migration ownership.</x:v>
      </x:c>
      <x:c r="U8" s="98" t="str">
        <x:v>Complements #1 and #29.</x:v>
      </x:c>
      <x:c r="V8" s="98" t="str">
        <x:v>Partial</x:v>
      </x:c>
      <x:c r="W8" s="98" t="str">
        <x:v>P2</x:v>
      </x:c>
      <x:c r="X8" s="98" t="str">
        <x:v>3.5 Visual Rebuild / Fidelity</x:v>
      </x:c>
      <x:c r="Y8" s="58" t="str">
        <x:v>Not Reviewed</x:v>
      </x:c>
    </x:row>
    <x:row r="9" ht="62" customHeight="1">
      <x:c r="A9" s="57" t="str">
        <x:v>Existing</x:v>
      </x:c>
      <x:c r="B9" s="98" t="n">
        <x:v>3</x:v>
      </x:c>
      <x:c r="C9" s="98" t="str">
        <x:v>P1-GOV-C-03_value_stream_map_vsm</x:v>
      </x:c>
      <x:c r="D9" s="98" t="str">
        <x:v>Enterprise AI Architecture &amp; Delivery Value Stream Map</x:v>
      </x:c>
      <x:c r="E9" s="98" t="str">
        <x:v>CHANGE</x:v>
      </x:c>
      <x:c r="F9" s="98" t="str">
        <x:v>CHANGE</x:v>
      </x:c>
      <x:c r="G9" s="98" t="str">
        <x:v>Enterprise AI Delivery Value Stream Map</x:v>
      </x:c>
      <x:c r="H9" s="98" t="str">
        <x:v>BRD</x:v>
      </x:c>
      <x:c r="I9" s="98" t="str">
        <x:v>Executive Architecture Brief; COE / Operating Model</x:v>
      </x:c>
      <x:c r="J9" s="98" t="str">
        <x:v>Enterprise Strategy &amp; Transformation</x:v>
      </x:c>
      <x:c r="K9" s="98" t="str">
        <x:v>Lean flow; bottlenecks; handoffs; cycle time</x:v>
      </x:c>
      <x:c r="L9" s="98" t="str">
        <x:v>Process</x:v>
      </x:c>
      <x:c r="M9" s="98" t="str">
        <x:v>Discover; Define</x:v>
      </x:c>
      <x:c r="N9" s="98" t="str">
        <x:v>Lean Value Stream Map</x:v>
      </x:c>
      <x:c r="O9" s="98" t="str">
        <x:v>Cloud-agnostic</x:v>
      </x:c>
      <x:c r="P9" s="98" t="str">
        <x:v>Executive</x:v>
      </x:c>
      <x:c r="Q9" s="98" t="str">
        <x:v>A value-stream-style view with business and technology steps.</x:v>
      </x:c>
      <x:c r="R9" s="98" t="str">
        <x:v>Make it a real Lean VSM first; treat Google Cloud services only as enablers.</x:v>
      </x:c>
      <x:c r="S9" s="98" t="str">
        <x:v>Architecture boxes that crowd out process-time, wait-time and handoff analysis.</x:v>
      </x:c>
      <x:c r="T9" s="98" t="str">
        <x:v>Process time; wait time; queue time; handoffs; bottlenecks; current-state/future-state improvements; owner by step.</x:v>
      </x:c>
      <x:c r="U9" s="98" t="str">
        <x:v>Pairs with #4 As-Is vs To-Be.</x:v>
      </x:c>
      <x:c r="V9" s="98" t="str">
        <x:v>Yes</x:v>
      </x:c>
      <x:c r="W9" s="98" t="str">
        <x:v>P1</x:v>
      </x:c>
      <x:c r="X9" s="98" t="str">
        <x:v>3.2 Technical Accuracy Cleanup</x:v>
      </x:c>
      <x:c r="Y9" s="58" t="str">
        <x:v>Not Reviewed</x:v>
      </x:c>
    </x:row>
    <x:row r="10" ht="62" customHeight="1">
      <x:c r="A10" s="57" t="str">
        <x:v>Existing</x:v>
      </x:c>
      <x:c r="B10" s="98" t="n">
        <x:v>4</x:v>
      </x:c>
      <x:c r="C10" s="98" t="str">
        <x:v>P1-GOV-C-04_as_is_vs_to_be_process_flow</x:v>
      </x:c>
      <x:c r="D10" s="98" t="str">
        <x:v>As-Is vs. To-Be Process &amp; Architecture Flow</x:v>
      </x:c>
      <x:c r="E10" s="98" t="str">
        <x:v>KEEP + POLISH</x:v>
      </x:c>
      <x:c r="F10" s="98" t="str">
        <x:v>KEEP</x:v>
      </x:c>
      <x:c r="G10" s="98" t="str">
        <x:v>As-Is vs. To-Be Process &amp; Architecture Flow</x:v>
      </x:c>
      <x:c r="H10" s="98" t="str">
        <x:v>BRD</x:v>
      </x:c>
      <x:c r="I10" s="98" t="str">
        <x:v>PRD; Executive Architecture Brief; Transformation Plan</x:v>
      </x:c>
      <x:c r="J10" s="98" t="str">
        <x:v>Enterprise Strategy &amp; Transformation</x:v>
      </x:c>
      <x:c r="K10" s="98" t="str">
        <x:v>Current state; target state; transition outcomes</x:v>
      </x:c>
      <x:c r="L10" s="98" t="str">
        <x:v>Conceptual</x:v>
      </x:c>
      <x:c r="M10" s="98" t="str">
        <x:v>Define; Design</x:v>
      </x:c>
      <x:c r="N10" s="98" t="str">
        <x:v>As-Is / To-Be Comparison</x:v>
      </x:c>
      <x:c r="O10" s="98" t="str">
        <x:v>Cloud-agnostic</x:v>
      </x:c>
      <x:c r="P10" s="98" t="str">
        <x:v>Executive</x:v>
      </x:c>
      <x:c r="Q10" s="98" t="str">
        <x:v>Side-by-side current-state and target-state comparison.</x:v>
      </x:c>
      <x:c r="R10" s="98" t="str">
        <x:v>Use symmetric structure so users can compare like-for-like capabilities.</x:v>
      </x:c>
      <x:c r="S10" s="98" t="str">
        <x:v>Unsupported financial, latency or productivity claims shown as facts.</x:v>
      </x:c>
      <x:c r="T10" s="98" t="str">
        <x:v>Transition steps; business outcomes; capability deltas; ownership; measurable targets clearly labeled as examples.</x:v>
      </x:c>
      <x:c r="U10" s="98" t="str">
        <x:v>Pairs with #3 and #6.</x:v>
      </x:c>
      <x:c r="V10" s="98" t="str">
        <x:v>Partial</x:v>
      </x:c>
      <x:c r="W10" s="98" t="str">
        <x:v>P2</x:v>
      </x:c>
      <x:c r="X10" s="98" t="str">
        <x:v>3.5 Visual Rebuild / Fidelity</x:v>
      </x:c>
      <x:c r="Y10" s="58" t="str">
        <x:v>Not Reviewed</x:v>
      </x:c>
    </x:row>
    <x:row r="11" ht="62" customHeight="1">
      <x:c r="A11" s="57" t="str">
        <x:v>Existing</x:v>
      </x:c>
      <x:c r="B11" s="98" t="n">
        <x:v>5</x:v>
      </x:c>
      <x:c r="C11" s="98" t="str">
        <x:v>P2-GOV-C-01_cloud_finops_chargeback_model</x:v>
      </x:c>
      <x:c r="D11" s="98" t="str">
        <x:v>Cloud FinOps &amp; Chargeback Model</x:v>
      </x:c>
      <x:c r="E11" s="98" t="str">
        <x:v>REBUILD</x:v>
      </x:c>
      <x:c r="F11" s="98" t="str">
        <x:v>REBUILD</x:v>
      </x:c>
      <x:c r="G11" s="98" t="str">
        <x:v>Google Cloud FinOps, Allocation &amp; Chargeback Architecture</x:v>
      </x:c>
      <x:c r="H11" s="98" t="str">
        <x:v>COE / Operating Model</x:v>
      </x:c>
      <x:c r="I11" s="98" t="str">
        <x:v>Executive Architecture Brief; Operations / SRE</x:v>
      </x:c>
      <x:c r="J11" s="98" t="str">
        <x:v>Strategy &amp; Operating Model</x:v>
      </x:c>
      <x:c r="K11" s="98" t="str">
        <x:v>Billing; allocation; budgets; quotas; showback/chargeback</x:v>
      </x:c>
      <x:c r="L11" s="98" t="str">
        <x:v>Logical</x:v>
      </x:c>
      <x:c r="M11" s="98" t="str">
        <x:v>Operate; Optimize</x:v>
      </x:c>
      <x:c r="N11" s="98" t="str">
        <x:v>Operating Model / Cost Flow</x:v>
      </x:c>
      <x:c r="O11" s="98" t="str">
        <x:v>Google Cloud</x:v>
      </x:c>
      <x:c r="P11" s="98" t="str">
        <x:v>Standard</x:v>
      </x:c>
      <x:c r="Q11" s="98" t="str">
        <x:v>A FinOps/chargeback view with cost, quota and governance concepts.</x:v>
      </x:c>
      <x:c r="R11" s="98" t="str">
        <x:v>Anchor the model on real Google Cloud billing and FinOps controls.</x:v>
      </x:c>
      <x:c r="S11" s="98" t="str">
        <x:v>Invented/non-standard product labels such as 'Vertex AI Quota Governor'.</x:v>
      </x:c>
      <x:c r="T11" s="98" t="str">
        <x:v>Cloud Billing export; BigQuery cost data; budgets/alerts; labels/tags; cost allocation; showback/chargeback; FinOps roles; AI quota/Provisioned Throughput where relevant.</x:v>
      </x:c>
      <x:c r="U11" s="98" t="str">
        <x:v>Related to #33 for AI capacity, but this is financial governance.</x:v>
      </x:c>
      <x:c r="V11" s="98" t="str">
        <x:v>Yes</x:v>
      </x:c>
      <x:c r="W11" s="98" t="str">
        <x:v>P0</x:v>
      </x:c>
      <x:c r="X11" s="98" t="str">
        <x:v>3.2 Technical Accuracy Cleanup</x:v>
      </x:c>
      <x:c r="Y11" s="58" t="str">
        <x:v>Not Reviewed</x:v>
      </x:c>
    </x:row>
    <x:row r="12" ht="62" customHeight="1">
      <x:c r="A12" s="57" t="str">
        <x:v>Existing</x:v>
      </x:c>
      <x:c r="B12" s="98" t="n">
        <x:v>6</x:v>
      </x:c>
      <x:c r="C12" s="98" t="str">
        <x:v>P3-APP-C-01_total_unified_system_view</x:v>
      </x:c>
      <x:c r="D12" s="98" t="str">
        <x:v>Total Unified System View</x:v>
      </x:c>
      <x:c r="E12" s="98" t="str">
        <x:v>REBUILD / RENAME</x:v>
      </x:c>
      <x:c r="F12" s="98" t="str">
        <x:v>REBUILD</x:v>
      </x:c>
      <x:c r="G12" s="98" t="str">
        <x:v>Enterprise Reference Architecture</x:v>
      </x:c>
      <x:c r="H12" s="98" t="str">
        <x:v>Executive Architecture Brief</x:v>
      </x:c>
      <x:c r="I12" s="98" t="str">
        <x:v>HLD; PRD</x:v>
      </x:c>
      <x:c r="J12" s="98" t="str">
        <x:v>Architecture Standards</x:v>
      </x:c>
      <x:c r="K12" s="98" t="str">
        <x:v>Enterprise context; layers; cross-cutting concerns</x:v>
      </x:c>
      <x:c r="L12" s="98" t="str">
        <x:v>Conceptual</x:v>
      </x:c>
      <x:c r="M12" s="98" t="str">
        <x:v>Define; Design</x:v>
      </x:c>
      <x:c r="N12" s="98" t="str">
        <x:v>Enterprise Reference Architecture</x:v>
      </x:c>
      <x:c r="O12" s="98" t="str">
        <x:v>Google Cloud / Hybrid</x:v>
      </x:c>
      <x:c r="P12" s="98" t="str">
        <x:v>Executive</x:v>
      </x:c>
      <x:c r="Q12" s="98" t="str">
        <x:v>A very broad end-to-end system view that attempts to show everything.</x:v>
      </x:c>
      <x:c r="R12" s="98" t="str">
        <x:v>Turn it into a disciplined enterprise reference architecture with explicit layers and boundaries.</x:v>
      </x:c>
      <x:c r="S12" s="98" t="str">
        <x:v>Everything-everywhere clutter, duplicated services and low-value technical details at executive level.</x:v>
      </x:c>
      <x:c r="T12" s="98" t="str">
        <x:v>Channels; business capabilities; applications/integration; data; AI; platform/network; security/identity; operations; clear cross-cutting controls.</x:v>
      </x:c>
      <x:c r="U12" s="98" t="str">
        <x:v>Acts as a parent view for many HLD diagrams.</x:v>
      </x:c>
      <x:c r="V12" s="98" t="str">
        <x:v>Yes</x:v>
      </x:c>
      <x:c r="W12" s="98" t="str">
        <x:v>P0</x:v>
      </x:c>
      <x:c r="X12" s="98" t="str">
        <x:v>3.1 Critical Architecture Rebuilds</x:v>
      </x:c>
      <x:c r="Y12" s="58" t="str">
        <x:v>Not Reviewed</x:v>
      </x:c>
    </x:row>
    <x:row r="13" ht="62" customHeight="1">
      <x:c r="A13" s="57" t="str">
        <x:v>Existing</x:v>
      </x:c>
      <x:c r="B13" s="98" t="n">
        <x:v>7</x:v>
      </x:c>
      <x:c r="C13" s="98" t="str">
        <x:v>P3-AI-L-02_cognitive_architecture_agentic_rag</x:v>
      </x:c>
      <x:c r="D13" s="98" t="str">
        <x:v>Cognitive Architecture / Agentic RAG</x:v>
      </x:c>
      <x:c r="E13" s="98" t="str">
        <x:v>KEEP + UPDATE</x:v>
      </x:c>
      <x:c r="F13" s="98" t="str">
        <x:v>KEEP</x:v>
      </x:c>
      <x:c r="G13" s="98" t="str">
        <x:v>Agentic RAG &amp; Grounded AI Architecture</x:v>
      </x:c>
      <x:c r="H13" s="98" t="str">
        <x:v>AI / Agentic Architecture</x:v>
      </x:c>
      <x:c r="I13" s="98" t="str">
        <x:v>HLD; LLD / TDD</x:v>
      </x:c>
      <x:c r="J13" s="98" t="str">
        <x:v>AI &amp; Agentic</x:v>
      </x:c>
      <x:c r="K13" s="98" t="str">
        <x:v>RAG; grounding; agents; safety; memory</x:v>
      </x:c>
      <x:c r="L13" s="98" t="str">
        <x:v>Logical</x:v>
      </x:c>
      <x:c r="M13" s="98" t="str">
        <x:v>Design; Build</x:v>
      </x:c>
      <x:c r="N13" s="98" t="str">
        <x:v>Reference Architecture / Data Flow</x:v>
      </x:c>
      <x:c r="O13" s="98" t="str">
        <x:v>Google Cloud</x:v>
      </x:c>
      <x:c r="P13" s="98" t="str">
        <x:v>Standard</x:v>
      </x:c>
      <x:c r="Q13" s="98" t="str">
        <x:v>Agentic RAG components, retrieval and model reasoning.</x:v>
      </x:c>
      <x:c r="R13" s="98" t="str">
        <x:v>Use current managed-agent terminology and make grounding/retrieval responsibilities explicit.</x:v>
      </x:c>
      <x:c r="S13" s="98" t="str">
        <x:v>Hard-coded model versions and circular ReAct patterns unless they are actually required.</x:v>
      </x:c>
      <x:c r="T13" s="98" t="str">
        <x:v>Vertex AI Agent Engine option; retrieval quality; grounding/citations; Model Armor; evaluation; session/memory; fallback/error path.</x:v>
      </x:c>
      <x:c r="U13" s="98" t="str">
        <x:v>Related to #8, #19, #21 and #50.</x:v>
      </x:c>
      <x:c r="V13" s="98" t="str">
        <x:v>Partial</x:v>
      </x:c>
      <x:c r="W13" s="98" t="str">
        <x:v>P1</x:v>
      </x:c>
      <x:c r="X13" s="98" t="str">
        <x:v>3.2 Technical Accuracy Cleanup</x:v>
      </x:c>
      <x:c r="Y13" s="58" t="str">
        <x:v>Not Reviewed</x:v>
      </x:c>
    </x:row>
    <x:row r="14" ht="62" customHeight="1">
      <x:c r="A14" s="57" t="str">
        <x:v>Existing</x:v>
      </x:c>
      <x:c r="B14" s="98" t="n">
        <x:v>8</x:v>
      </x:c>
      <x:c r="C14" s="98" t="str">
        <x:v>P3-AI-L-03_hub_and_spoke_agent_mesh</x:v>
      </x:c>
      <x:c r="D14" s="98" t="str">
        <x:v>Hub-and-Spoke Agent Configuration Map</x:v>
      </x:c>
      <x:c r="E14" s="98" t="str">
        <x:v>KEEP + CHANGE</x:v>
      </x:c>
      <x:c r="F14" s="98" t="str">
        <x:v>CHANGE</x:v>
      </x:c>
      <x:c r="G14" s="98" t="str">
        <x:v>Hub-and-Spoke Multi-Agent Orchestration</x:v>
      </x:c>
      <x:c r="H14" s="98" t="str">
        <x:v>AI / Agentic Architecture</x:v>
      </x:c>
      <x:c r="I14" s="98" t="str">
        <x:v>HLD; LLD / TDD</x:v>
      </x:c>
      <x:c r="J14" s="98" t="str">
        <x:v>AI &amp; Agentic</x:v>
      </x:c>
      <x:c r="K14" s="98" t="str">
        <x:v>Supervisor; delegation; A2A; MCP; shared state</x:v>
      </x:c>
      <x:c r="L14" s="98" t="str">
        <x:v>Logical</x:v>
      </x:c>
      <x:c r="M14" s="98" t="str">
        <x:v>Design; Build</x:v>
      </x:c>
      <x:c r="N14" s="98" t="str">
        <x:v>Agent Topology</x:v>
      </x:c>
      <x:c r="O14" s="98" t="str">
        <x:v>Google Cloud / Hybrid</x:v>
      </x:c>
      <x:c r="P14" s="98" t="str">
        <x:v>Standard</x:v>
      </x:c>
      <x:c r="Q14" s="98" t="str">
        <x:v>A central supervisor with specialized agent spokes.</x:v>
      </x:c>
      <x:c r="R14" s="98" t="str">
        <x:v>Clarify supervisor/delegation versus event-bus messaging and direct agent-to-agent interaction.</x:v>
      </x:c>
      <x:c r="S14" s="98" t="str">
        <x:v>gRPC or direct peer links shown as universal defaults.</x:v>
      </x:c>
      <x:c r="T14" s="98" t="str">
        <x:v>A2A/MCP boundaries; delegation contracts; tool access; shared state/memory; retries; observability; policy.</x:v>
      </x:c>
      <x:c r="U14" s="98" t="str">
        <x:v>Related to #15 sequence, #19 runtime, #50 MCP gateway.</x:v>
      </x:c>
      <x:c r="V14" s="98" t="str">
        <x:v>Partial</x:v>
      </x:c>
      <x:c r="W14" s="98" t="str">
        <x:v>P1</x:v>
      </x:c>
      <x:c r="X14" s="98" t="str">
        <x:v>3.2 Technical Accuracy Cleanup</x:v>
      </x:c>
      <x:c r="Y14" s="58" t="str">
        <x:v>Not Reviewed</x:v>
      </x:c>
    </x:row>
    <x:row r="15" ht="62" customHeight="1">
      <x:c r="A15" s="57" t="str">
        <x:v>Existing</x:v>
      </x:c>
      <x:c r="B15" s="98" t="n">
        <x:v>9</x:v>
      </x:c>
      <x:c r="C15" s="98" t="str">
        <x:v>P3-DAT-L-04_gcp_enterprise_data_lakehouse</x:v>
      </x:c>
      <x:c r="D15" s="98" t="str">
        <x:v>GCP Enterprise Data Lakehouse &amp; Gemini Agentic Mesh</x:v>
      </x:c>
      <x:c r="E15" s="98" t="str">
        <x:v>KEEP + UPDATE</x:v>
      </x:c>
      <x:c r="F15" s="98" t="str">
        <x:v>KEEP</x:v>
      </x:c>
      <x:c r="G15" s="98" t="str">
        <x:v>Google Cloud Enterprise Data Lakehouse &amp; AI Consumption</x:v>
      </x:c>
      <x:c r="H15" s="98" t="str">
        <x:v>Data Architecture</x:v>
      </x:c>
      <x:c r="I15" s="98" t="str">
        <x:v>HLD; AI / Agentic Architecture</x:v>
      </x:c>
      <x:c r="J15" s="98" t="str">
        <x:v>Data &amp; Analytics</x:v>
      </x:c>
      <x:c r="K15" s="98" t="str">
        <x:v>Lakehouse; governance; analytics; AI consumption</x:v>
      </x:c>
      <x:c r="L15" s="98" t="str">
        <x:v>Logical</x:v>
      </x:c>
      <x:c r="M15" s="98" t="str">
        <x:v>Design; Build</x:v>
      </x:c>
      <x:c r="N15" s="98" t="str">
        <x:v>Reference Architecture / Data Flow</x:v>
      </x:c>
      <x:c r="O15" s="98" t="str">
        <x:v>Google Cloud</x:v>
      </x:c>
      <x:c r="P15" s="98" t="str">
        <x:v>Detailed</x:v>
      </x:c>
      <x:c r="Q15" s="98" t="str">
        <x:v>A broad enterprise lakehouse with analytics and AI consumption.</x:v>
      </x:c>
      <x:c r="R15" s="98" t="str">
        <x:v>Update catalog terminology and separate the core data platform from optional AI/agent consumption.</x:v>
      </x:c>
      <x:c r="S15" s="98" t="str">
        <x:v>Overloaded agent mesh that obscures ingestion, storage, curation and serving.</x:v>
      </x:c>
      <x:c r="T15" s="98" t="str">
        <x:v>Ingestion; raw/curated layers; BigQuery; Knowledge Catalog; data quality; lineage; analytics/BI; governed AI access.</x:v>
      </x:c>
      <x:c r="U15" s="98" t="str">
        <x:v>Related to #11, #27, #28, #36, #49.</x:v>
      </x:c>
      <x:c r="V15" s="98" t="str">
        <x:v>Partial</x:v>
      </x:c>
      <x:c r="W15" s="98" t="str">
        <x:v>P1</x:v>
      </x:c>
      <x:c r="X15" s="98" t="str">
        <x:v>3.2 Technical Accuracy Cleanup</x:v>
      </x:c>
      <x:c r="Y15" s="58" t="str">
        <x:v>Not Reviewed</x:v>
      </x:c>
    </x:row>
    <x:row r="16" ht="62" customHeight="1">
      <x:c r="A16" s="57" t="str">
        <x:v>Existing</x:v>
      </x:c>
      <x:c r="B16" s="98" t="n">
        <x:v>10</x:v>
      </x:c>
      <x:c r="C16" s="98" t="str">
        <x:v>P3-DAT-L-05_dimensional_data_model_erd</x:v>
      </x:c>
      <x:c r="D16" s="98" t="str">
        <x:v>Dimensional Data Model - Crow's Foot ERD</x:v>
      </x:c>
      <x:c r="E16" s="98" t="str">
        <x:v>KEEP</x:v>
      </x:c>
      <x:c r="F16" s="98" t="str">
        <x:v>KEEP</x:v>
      </x:c>
      <x:c r="G16" s="98" t="str">
        <x:v>Dimensional Data Model - Crow's Foot ERD</x:v>
      </x:c>
      <x:c r="H16" s="98" t="str">
        <x:v>LLD / TDD</x:v>
      </x:c>
      <x:c r="I16" s="98" t="str">
        <x:v>Data Architecture</x:v>
      </x:c>
      <x:c r="J16" s="98" t="str">
        <x:v>Architecture Standards</x:v>
      </x:c>
      <x:c r="K16" s="98" t="str">
        <x:v>Dimensional modeling; grain; keys; cardinality</x:v>
      </x:c>
      <x:c r="L16" s="98" t="str">
        <x:v>Data Model</x:v>
      </x:c>
      <x:c r="M16" s="98" t="str">
        <x:v>Design; Build</x:v>
      </x:c>
      <x:c r="N16" s="98" t="str">
        <x:v>Crow's Foot ERD</x:v>
      </x:c>
      <x:c r="O16" s="98" t="str">
        <x:v>Cloud-agnostic</x:v>
      </x:c>
      <x:c r="P16" s="98" t="str">
        <x:v>Detailed</x:v>
      </x:c>
      <x:c r="Q16" s="98" t="str">
        <x:v>A dimensional/star-schema ERD.</x:v>
      </x:c>
      <x:c r="R16" s="98" t="str">
        <x:v>Preserve notation rigor; only make readability improvements.</x:v>
      </x:c>
      <x:c r="S16" s="98" t="str">
        <x:v>Vector/AI elements if they distort the dimensional model.</x:v>
      </x:c>
      <x:c r="T16" s="98" t="str">
        <x:v>PK/FK clarity; fact-table grain; relationship cardinality; slowly changing dimension notes where appropriate.</x:v>
      </x:c>
      <x:c r="U16" s="98" t="str">
        <x:v>Related to #49 lineage but serves a different purpose.</x:v>
      </x:c>
      <x:c r="V16" s="98" t="str">
        <x:v>No</x:v>
      </x:c>
      <x:c r="W16" s="98" t="str">
        <x:v>P2</x:v>
      </x:c>
      <x:c r="X16" s="98" t="str">
        <x:v>3.6 Catalog QA &amp; Certification</x:v>
      </x:c>
      <x:c r="Y16" s="58" t="str">
        <x:v>Not Reviewed</x:v>
      </x:c>
    </x:row>
    <x:row r="17" ht="62" customHeight="1">
      <x:c r="A17" s="57" t="str">
        <x:v>Existing</x:v>
      </x:c>
      <x:c r="B17" s="98" t="n">
        <x:v>11</x:v>
      </x:c>
      <x:c r="C17" s="98" t="str">
        <x:v>P3-DAT-C-06_unified_data_governance</x:v>
      </x:c>
      <x:c r="D17" s="98" t="str">
        <x:v>Unified Data Governance &amp; Access Control</x:v>
      </x:c>
      <x:c r="E17" s="98" t="str">
        <x:v>CHANGE</x:v>
      </x:c>
      <x:c r="F17" s="98" t="str">
        <x:v>CHANGE</x:v>
      </x:c>
      <x:c r="G17" s="98" t="str">
        <x:v>Unified Data Governance, Catalog &amp; Access Control</x:v>
      </x:c>
      <x:c r="H17" s="98" t="str">
        <x:v>Data Architecture</x:v>
      </x:c>
      <x:c r="I17" s="98" t="str">
        <x:v>Security Architecture; COE / Operating Model</x:v>
      </x:c>
      <x:c r="J17" s="98" t="str">
        <x:v>Data &amp; Analytics</x:v>
      </x:c>
      <x:c r="K17" s="98" t="str">
        <x:v>Catalog; classification; lineage; policy; access</x:v>
      </x:c>
      <x:c r="L17" s="98" t="str">
        <x:v>Logical</x:v>
      </x:c>
      <x:c r="M17" s="98" t="str">
        <x:v>Design; Operate</x:v>
      </x:c>
      <x:c r="N17" s="98" t="str">
        <x:v>Governance Architecture</x:v>
      </x:c>
      <x:c r="O17" s="98" t="str">
        <x:v>Google Cloud</x:v>
      </x:c>
      <x:c r="P17" s="98" t="str">
        <x:v>Standard</x:v>
      </x:c>
      <x:c r="Q17" s="98" t="str">
        <x:v>Catalog, governance and access-control concepts around enterprise data.</x:v>
      </x:c>
      <x:c r="R17" s="98" t="str">
        <x:v>Use current Google Cloud names and make governance decision flow explicit.</x:v>
      </x:c>
      <x:c r="S17" s="98" t="str">
        <x:v>Dataplex Universal Catalog / Cloud DLP labels and generic governance badges.</x:v>
      </x:c>
      <x:c r="T17" s="98" t="str">
        <x:v>Knowledge Catalog; Sensitive Data Protection; ownership; policy taxonomy; data quality; lineage; access decision points; audit.</x:v>
      </x:c>
      <x:c r="U17" s="98" t="str">
        <x:v>Related to #9 and #49.</x:v>
      </x:c>
      <x:c r="V17" s="98" t="str">
        <x:v>Partial</x:v>
      </x:c>
      <x:c r="W17" s="98" t="str">
        <x:v>P1</x:v>
      </x:c>
      <x:c r="X17" s="98" t="str">
        <x:v>3.2 Technical Accuracy Cleanup</x:v>
      </x:c>
      <x:c r="Y17" s="58" t="str">
        <x:v>Not Reviewed</x:v>
      </x:c>
    </x:row>
    <x:row r="18" ht="62" customHeight="1">
      <x:c r="A18" s="57" t="str">
        <x:v>Existing</x:v>
      </x:c>
      <x:c r="B18" s="98" t="n">
        <x:v>12</x:v>
      </x:c>
      <x:c r="C18" s="98" t="str">
        <x:v>P3-SEC-L-07_federated_iam_sso</x:v>
      </x:c>
      <x:c r="D18" s="98" t="str">
        <x:v>Google Cloud Federated IAM &amp; SSO Architecture</x:v>
      </x:c>
      <x:c r="E18" s="98" t="str">
        <x:v>KEEP + UPDATE</x:v>
      </x:c>
      <x:c r="F18" s="98" t="str">
        <x:v>KEEP</x:v>
      </x:c>
      <x:c r="G18" s="98" t="str">
        <x:v>Federated Workforce Identity, SSO &amp; IAM Architecture</x:v>
      </x:c>
      <x:c r="H18" s="98" t="str">
        <x:v>IAM Design</x:v>
      </x:c>
      <x:c r="I18" s="98" t="str">
        <x:v>Security Architecture; HLD</x:v>
      </x:c>
      <x:c r="J18" s="98" t="str">
        <x:v>Security &amp; Identity</x:v>
      </x:c>
      <x:c r="K18" s="98" t="str">
        <x:v>SSO; workforce identity; federation; authorization</x:v>
      </x:c>
      <x:c r="L18" s="98" t="str">
        <x:v>Logical</x:v>
      </x:c>
      <x:c r="M18" s="98" t="str">
        <x:v>Design; Build</x:v>
      </x:c>
      <x:c r="N18" s="98" t="str">
        <x:v>IAM / Authentication Flow</x:v>
      </x:c>
      <x:c r="O18" s="98" t="str">
        <x:v>Hybrid</x:v>
      </x:c>
      <x:c r="P18" s="98" t="str">
        <x:v>Standard</x:v>
      </x:c>
      <x:c r="Q18" s="98" t="str">
        <x:v>Enterprise IdP-to-Google Cloud federation and SSO.</x:v>
      </x:c>
      <x:c r="R18" s="98" t="str">
        <x:v>Precisely distinguish federation, user lifecycle synchronization and authorization.</x:v>
      </x:c>
      <x:c r="S18" s="98" t="str">
        <x:v>Any implication that directory sync itself provides federation or authorization.</x:v>
      </x:c>
      <x:c r="T18" s="98" t="str">
        <x:v>Workforce Identity Federation/SSO; IdP; SCIM/sync if used; groups; IAM bindings; session controls; audit.</x:v>
      </x:c>
      <x:c r="U18" s="98" t="str">
        <x:v>Complemented by proposed #55 for workload identity.</x:v>
      </x:c>
      <x:c r="V18" s="98" t="str">
        <x:v>Partial</x:v>
      </x:c>
      <x:c r="W18" s="98" t="str">
        <x:v>P1</x:v>
      </x:c>
      <x:c r="X18" s="98" t="str">
        <x:v>3.2 Technical Accuracy Cleanup</x:v>
      </x:c>
      <x:c r="Y18" s="58" t="str">
        <x:v>Not Reviewed</x:v>
      </x:c>
    </x:row>
    <x:row r="19" ht="62" customHeight="1">
      <x:c r="A19" s="57" t="str">
        <x:v>Existing</x:v>
      </x:c>
      <x:c r="B19" s="98" t="n">
        <x:v>13</x:v>
      </x:c>
      <x:c r="C19" s="98" t="str">
        <x:v>P3-APP-L-08_micro_frontend_architecture</x:v>
      </x:c>
      <x:c r="D19" s="98" t="str">
        <x:v>Micro-Frontend Architecture</x:v>
      </x:c>
      <x:c r="E19" s="98" t="str">
        <x:v>KEEP</x:v>
      </x:c>
      <x:c r="F19" s="98" t="str">
        <x:v>KEEP</x:v>
      </x:c>
      <x:c r="G19" s="98" t="str">
        <x:v>Enterprise Micro-Frontend Architecture</x:v>
      </x:c>
      <x:c r="H19" s="98" t="str">
        <x:v>HLD</x:v>
      </x:c>
      <x:c r="I19" s="98" t="str">
        <x:v>PRD; LLD / TDD</x:v>
      </x:c>
      <x:c r="J19" s="98" t="str">
        <x:v>Application &amp; Integration</x:v>
      </x:c>
      <x:c r="K19" s="98" t="str">
        <x:v>Frontend composition; independent deployment; auth</x:v>
      </x:c>
      <x:c r="L19" s="98" t="str">
        <x:v>Logical</x:v>
      </x:c>
      <x:c r="M19" s="98" t="str">
        <x:v>Design; Build</x:v>
      </x:c>
      <x:c r="N19" s="98" t="str">
        <x:v>Component / Runtime Topology</x:v>
      </x:c>
      <x:c r="O19" s="98" t="str">
        <x:v>Cloud-agnostic</x:v>
      </x:c>
      <x:c r="P19" s="98" t="str">
        <x:v>Standard</x:v>
      </x:c>
      <x:c r="Q19" s="98" t="str">
        <x:v>Shell plus independently developed/deployed frontend components.</x:v>
      </x:c>
      <x:c r="R19" s="98" t="str">
        <x:v>Clearly distinguish runtime composition from build-time integration.</x:v>
      </x:c>
      <x:c r="S19" s="98" t="str">
        <x:v>Generic backend/service clutter not needed to explain the micro-frontend pattern.</x:v>
      </x:c>
      <x:c r="T19" s="98" t="str">
        <x:v>Shell/container; remote modules; CDN; routing; shared design system; authentication; observability; deployment independence.</x:v>
      </x:c>
      <x:c r="U19" s="98" t="str">
        <x:v>Related to #45/#46 for C4 decomposition.</x:v>
      </x:c>
      <x:c r="V19" s="98" t="str">
        <x:v>Partial</x:v>
      </x:c>
      <x:c r="W19" s="98" t="str">
        <x:v>P2</x:v>
      </x:c>
      <x:c r="X19" s="98" t="str">
        <x:v>3.5 Visual Rebuild / Fidelity</x:v>
      </x:c>
      <x:c r="Y19" s="58" t="str">
        <x:v>Not Reviewed</x:v>
      </x:c>
    </x:row>
    <x:row r="20" ht="62" customHeight="1">
      <x:c r="A20" s="57" t="str">
        <x:v>Existing</x:v>
      </x:c>
      <x:c r="B20" s="98" t="n">
        <x:v>14</x:v>
      </x:c>
      <x:c r="C20" s="98" t="str">
        <x:v>P3-GOV-L-09_logical_ai_config_tenant</x:v>
      </x:c>
      <x:c r="D20" s="98" t="str">
        <x:v>Logical AI Configuration / Multi-Tenant</x:v>
      </x:c>
      <x:c r="E20" s="98" t="str">
        <x:v>CHANGE</x:v>
      </x:c>
      <x:c r="F20" s="98" t="str">
        <x:v>CHANGE</x:v>
      </x:c>
      <x:c r="G20" s="98" t="str">
        <x:v>Multi-Tenant AI Platform Isolation &amp; Configuration</x:v>
      </x:c>
      <x:c r="H20" s="98" t="str">
        <x:v>AI / Agentic Architecture</x:v>
      </x:c>
      <x:c r="I20" s="98" t="str">
        <x:v>HLD; Security Architecture; LLD / TDD</x:v>
      </x:c>
      <x:c r="J20" s="98" t="str">
        <x:v>AI &amp; Agentic</x:v>
      </x:c>
      <x:c r="K20" s="98" t="str">
        <x:v>Tenant isolation; identity; quotas; data boundaries</x:v>
      </x:c>
      <x:c r="L20" s="98" t="str">
        <x:v>Logical</x:v>
      </x:c>
      <x:c r="M20" s="98" t="str">
        <x:v>Design; Build</x:v>
      </x:c>
      <x:c r="N20" s="98" t="str">
        <x:v>Tenant Topology</x:v>
      </x:c>
      <x:c r="O20" s="98" t="str">
        <x:v>Google Cloud</x:v>
      </x:c>
      <x:c r="P20" s="98" t="str">
        <x:v>Detailed</x:v>
      </x:c>
      <x:c r="Q20" s="98" t="str">
        <x:v>Logical tenant configuration for AI workloads.</x:v>
      </x:c>
      <x:c r="R20" s="98" t="str">
        <x:v>Make the isolation model and tenant-specific controls the center of the design.</x:v>
      </x:c>
      <x:c r="S20" s="98" t="str">
        <x:v>Vague tenant boxes and governance-only framing.</x:v>
      </x:c>
      <x:c r="T20" s="98" t="str">
        <x:v>Tenant-aware identity; quotas; model/prompt configuration; data partitioning; encryption; noisy-neighbor controls; audit.</x:v>
      </x:c>
      <x:c r="U20" s="98" t="str">
        <x:v>Potential overlap with proposed #59; #14 should remain AI-platform specific.</x:v>
      </x:c>
      <x:c r="V20" s="98" t="str">
        <x:v>Yes</x:v>
      </x:c>
      <x:c r="W20" s="98" t="str">
        <x:v>P1</x:v>
      </x:c>
      <x:c r="X20" s="98" t="str">
        <x:v>3.2 Technical Accuracy Cleanup</x:v>
      </x:c>
      <x:c r="Y20" s="58" t="str">
        <x:v>Not Reviewed</x:v>
      </x:c>
    </x:row>
    <x:row r="21" ht="62" customHeight="1">
      <x:c r="A21" s="57" t="str">
        <x:v>Existing</x:v>
      </x:c>
      <x:c r="B21" s="98" t="n">
        <x:v>15</x:v>
      </x:c>
      <x:c r="C21" s="98" t="str">
        <x:v>P3-APP-L-10_multi_agent_sequence_flow</x:v>
      </x:c>
      <x:c r="D21" s="98" t="str">
        <x:v>Multi-Agent Execution Lifeline Sequence Diagram</x:v>
      </x:c>
      <x:c r="E21" s="98" t="str">
        <x:v>KEEP</x:v>
      </x:c>
      <x:c r="F21" s="98" t="str">
        <x:v>KEEP</x:v>
      </x:c>
      <x:c r="G21" s="98" t="str">
        <x:v>Multi-Agent Execution Sequence Diagram</x:v>
      </x:c>
      <x:c r="H21" s="98" t="str">
        <x:v>FDD</x:v>
      </x:c>
      <x:c r="I21" s="98" t="str">
        <x:v>LLD / TDD; AI / Agentic Architecture</x:v>
      </x:c>
      <x:c r="J21" s="98" t="str">
        <x:v>AI &amp; Agentic</x:v>
      </x:c>
      <x:c r="K21" s="98" t="str">
        <x:v>Agent orchestration; request/response; error branches</x:v>
      </x:c>
      <x:c r="L21" s="98" t="str">
        <x:v>Logical</x:v>
      </x:c>
      <x:c r="M21" s="98" t="str">
        <x:v>Design; Build</x:v>
      </x:c>
      <x:c r="N21" s="98" t="str">
        <x:v>UML Sequence</x:v>
      </x:c>
      <x:c r="O21" s="98" t="str">
        <x:v>Cloud-agnostic / Google Cloud</x:v>
      </x:c>
      <x:c r="P21" s="98" t="str">
        <x:v>Detailed</x:v>
      </x:c>
      <x:c r="Q21" s="98" t="str">
        <x:v>Agent lifelines and execution sequence.</x:v>
      </x:c>
      <x:c r="R21" s="98" t="str">
        <x:v>Tighten UML sequence semantics and preserve time ordering.</x:v>
      </x:c>
      <x:c r="S21" s="98" t="str">
        <x:v>Decorative architecture boxes that do not belong on lifelines.</x:v>
      </x:c>
      <x:c r="T21" s="98" t="str">
        <x:v>Sync/async distinction; alt/error branches; timeouts/retries; tool calls; Model Armor pre/post checks where applicable.</x:v>
      </x:c>
      <x:c r="U21" s="98" t="str">
        <x:v>Detailed behavioral view for #7/#8/#19/#50.</x:v>
      </x:c>
      <x:c r="V21" s="98" t="str">
        <x:v>No</x:v>
      </x:c>
      <x:c r="W21" s="98" t="str">
        <x:v>P2</x:v>
      </x:c>
      <x:c r="X21" s="98" t="str">
        <x:v>3.6 Catalog QA &amp; Certification</x:v>
      </x:c>
      <x:c r="Y21" s="58" t="str">
        <x:v>Not Reviewed</x:v>
      </x:c>
    </x:row>
    <x:row r="22" ht="62" customHeight="1">
      <x:c r="A22" s="57" t="str">
        <x:v>Existing</x:v>
      </x:c>
      <x:c r="B22" s="98" t="n">
        <x:v>16</x:v>
      </x:c>
      <x:c r="C22" s="98" t="str">
        <x:v>P4-SEC-P-01_secure_deployment_topology_map</x:v>
      </x:c>
      <x:c r="D22" s="98" t="str">
        <x:v>Secure Deployment Topology Map</x:v>
      </x:c>
      <x:c r="E22" s="98" t="str">
        <x:v>KEEP + CHANGE</x:v>
      </x:c>
      <x:c r="F22" s="98" t="str">
        <x:v>CHANGE</x:v>
      </x:c>
      <x:c r="G22" s="98" t="str">
        <x:v>Secure Google Cloud Deployment &amp; Trust Boundary Topology</x:v>
      </x:c>
      <x:c r="H22" s="98" t="str">
        <x:v>Security Architecture</x:v>
      </x:c>
      <x:c r="I22" s="98" t="str">
        <x:v>HLD; Network Design</x:v>
      </x:c>
      <x:c r="J22" s="98" t="str">
        <x:v>Security &amp; Identity</x:v>
      </x:c>
      <x:c r="K22" s="98" t="str">
        <x:v>Trust boundaries; ingress/egress; private access; deployment controls</x:v>
      </x:c>
      <x:c r="L22" s="98" t="str">
        <x:v>Deployment</x:v>
      </x:c>
      <x:c r="M22" s="98" t="str">
        <x:v>Design; Build</x:v>
      </x:c>
      <x:c r="N22" s="98" t="str">
        <x:v>Deployment / Trust Boundary Topology</x:v>
      </x:c>
      <x:c r="O22" s="98" t="str">
        <x:v>Google Cloud</x:v>
      </x:c>
      <x:c r="P22" s="98" t="str">
        <x:v>Detailed</x:v>
      </x:c>
      <x:c r="Q22" s="98" t="str">
        <x:v>A secure deployment topology with multiple security services.</x:v>
      </x:c>
      <x:c r="R22" s="98" t="str">
        <x:v>Make trust boundaries and allowed flows more important than service-icon density.</x:v>
      </x:c>
      <x:c r="S22" s="98" t="str">
        <x:v>Security icons used as decorations and unclear public/private boundaries.</x:v>
      </x:c>
      <x:c r="T22" s="98" t="str">
        <x:v>Ingress/egress; VPC; PSC/PSA as applicable; IAM; secrets; Binary Authorization where relevant; SCC; logging; trust-zone labels.</x:v>
      </x:c>
      <x:c r="U22" s="98" t="str">
        <x:v>Related to #17, #18, #20, #48 and proposed #56.</x:v>
      </x:c>
      <x:c r="V22" s="98" t="str">
        <x:v>Yes</x:v>
      </x:c>
      <x:c r="W22" s="98" t="str">
        <x:v>P1</x:v>
      </x:c>
      <x:c r="X22" s="98" t="str">
        <x:v>3.2 Technical Accuracy Cleanup</x:v>
      </x:c>
      <x:c r="Y22" s="58" t="str">
        <x:v>Not Reviewed</x:v>
      </x:c>
    </x:row>
    <x:row r="23" ht="62" customHeight="1">
      <x:c r="A23" s="57" t="str">
        <x:v>Existing</x:v>
      </x:c>
      <x:c r="B23" s="98" t="n">
        <x:v>17</x:v>
      </x:c>
      <x:c r="C23" s="98" t="str">
        <x:v>P4-SEC-P-02_gcp_landing_zone_vpc_map</x:v>
      </x:c>
      <x:c r="D23" s="98" t="str">
        <x:v>Google Cloud Infrastructure: Landing Zone &amp; Shared VPC Topology</x:v>
      </x:c>
      <x:c r="E23" s="98" t="str">
        <x:v>KEEP</x:v>
      </x:c>
      <x:c r="F23" s="98" t="str">
        <x:v>KEEP</x:v>
      </x:c>
      <x:c r="G23" s="98" t="str">
        <x:v>Google Cloud Landing Zone &amp; Shared VPC Topology</x:v>
      </x:c>
      <x:c r="H23" s="98" t="str">
        <x:v>Network Design</x:v>
      </x:c>
      <x:c r="I23" s="98" t="str">
        <x:v>HLD; Security Architecture</x:v>
      </x:c>
      <x:c r="J23" s="98" t="str">
        <x:v>Cloud Platform &amp; Networking</x:v>
      </x:c>
      <x:c r="K23" s="98" t="str">
        <x:v>Organization; projects; Shared VPC; policy</x:v>
      </x:c>
      <x:c r="L23" s="98" t="str">
        <x:v>Deployment</x:v>
      </x:c>
      <x:c r="M23" s="98" t="str">
        <x:v>Design; Build</x:v>
      </x:c>
      <x:c r="N23" s="98" t="str">
        <x:v>Network / Resource Hierarchy Topology</x:v>
      </x:c>
      <x:c r="O23" s="98" t="str">
        <x:v>Google Cloud</x:v>
      </x:c>
      <x:c r="P23" s="98" t="str">
        <x:v>Detailed</x:v>
      </x:c>
      <x:c r="Q23" s="98" t="str">
        <x:v>Landing-zone and Shared VPC concepts.</x:v>
      </x:c>
      <x:c r="R23" s="98" t="str">
        <x:v>Ensure hierarchy reads top-down from organization to workload networks.</x:v>
      </x:c>
      <x:c r="S23" s="98" t="str">
        <x:v>Flat project layouts that hide host/service project relationships.</x:v>
      </x:c>
      <x:c r="T23" s="98" t="str">
        <x:v>Organization; folders; projects; Shared VPC host/service projects; org policy; centralized logging; DNS; NCC optional; security controls.</x:v>
      </x:c>
      <x:c r="U23" s="98" t="str">
        <x:v>Foundation for #16 and #20.</x:v>
      </x:c>
      <x:c r="V23" s="98" t="str">
        <x:v>Partial</x:v>
      </x:c>
      <x:c r="W23" s="98" t="str">
        <x:v>P2</x:v>
      </x:c>
      <x:c r="X23" s="98" t="str">
        <x:v>3.5 Visual Rebuild / Fidelity</x:v>
      </x:c>
      <x:c r="Y23" s="58" t="str">
        <x:v>Not Reviewed</x:v>
      </x:c>
    </x:row>
    <x:row r="24" ht="62" customHeight="1">
      <x:c r="A24" s="57" t="str">
        <x:v>Existing</x:v>
      </x:c>
      <x:c r="B24" s="98" t="n">
        <x:v>18</x:v>
      </x:c>
      <x:c r="C24" s="98" t="str">
        <x:v>P4-SEC-P-03_data_residency_sovereign_map</x:v>
      </x:c>
      <x:c r="D24" s="98" t="str">
        <x:v>Data Residency &amp; Sovereign Cloud Map</x:v>
      </x:c>
      <x:c r="E24" s="98" t="str">
        <x:v>KEEP + CHANGE</x:v>
      </x:c>
      <x:c r="F24" s="98" t="str">
        <x:v>CHANGE</x:v>
      </x:c>
      <x:c r="G24" s="98" t="str">
        <x:v>Data Residency, Sovereignty &amp; Administrative Access Architecture</x:v>
      </x:c>
      <x:c r="H24" s="98" t="str">
        <x:v>Security Architecture</x:v>
      </x:c>
      <x:c r="I24" s="98" t="str">
        <x:v>HLD; Compliance Design</x:v>
      </x:c>
      <x:c r="J24" s="98" t="str">
        <x:v>Security &amp; Identity</x:v>
      </x:c>
      <x:c r="K24" s="98" t="str">
        <x:v>Residency; key control; processing location; admin access</x:v>
      </x:c>
      <x:c r="L24" s="98" t="str">
        <x:v>Deployment</x:v>
      </x:c>
      <x:c r="M24" s="98" t="str">
        <x:v>Define; Design</x:v>
      </x:c>
      <x:c r="N24" s="98" t="str">
        <x:v>Sovereignty / Boundary Map</x:v>
      </x:c>
      <x:c r="O24" s="98" t="str">
        <x:v>Hybrid / Multi-cloud</x:v>
      </x:c>
      <x:c r="P24" s="98" t="str">
        <x:v>Standard</x:v>
      </x:c>
      <x:c r="Q24" s="98" t="str">
        <x:v>Regional/sovereign boundaries and cross-region/cloud controls.</x:v>
      </x:c>
      <x:c r="R24" s="98" t="str">
        <x:v>Separate residency, access sovereignty, key sovereignty and processing location.</x:v>
      </x:c>
      <x:c r="S24" s="98" t="str">
        <x:v>Any implication that network peering alone solves sovereignty.</x:v>
      </x:c>
      <x:c r="T24" s="98" t="str">
        <x:v>Data location; administrative access; encryption/key control; processing-region constraints; Assured Workloads where relevant; audit.</x:v>
      </x:c>
      <x:c r="U24" s="98" t="str">
        <x:v>Related to #16/#20 and industry regulated templates.</x:v>
      </x:c>
      <x:c r="V24" s="98" t="str">
        <x:v>Partial</x:v>
      </x:c>
      <x:c r="W24" s="98" t="str">
        <x:v>P1</x:v>
      </x:c>
      <x:c r="X24" s="98" t="str">
        <x:v>3.2 Technical Accuracy Cleanup</x:v>
      </x:c>
      <x:c r="Y24" s="58" t="str">
        <x:v>Not Reviewed</x:v>
      </x:c>
    </x:row>
    <x:row r="25" ht="62" customHeight="1">
      <x:c r="A25" s="57" t="str">
        <x:v>Existing</x:v>
      </x:c>
      <x:c r="B25" s="98" t="n">
        <x:v>19</x:v>
      </x:c>
      <x:c r="C25" s="98" t="str">
        <x:v>P4-AI-P-04_enterprise_agent_runtime_platform</x:v>
      </x:c>
      <x:c r="D25" s="98" t="str">
        <x:v>Enterprise Agent Runtime Platform</x:v>
      </x:c>
      <x:c r="E25" s="98" t="str">
        <x:v>KEEP + UPDATE</x:v>
      </x:c>
      <x:c r="F25" s="98" t="str">
        <x:v>KEEP</x:v>
      </x:c>
      <x:c r="G25" s="98" t="str">
        <x:v>Enterprise Agent Runtime Platform on Google Cloud</x:v>
      </x:c>
      <x:c r="H25" s="98" t="str">
        <x:v>AI / Agentic Architecture</x:v>
      </x:c>
      <x:c r="I25" s="98" t="str">
        <x:v>HLD; LLD / TDD</x:v>
      </x:c>
      <x:c r="J25" s="98" t="str">
        <x:v>AI &amp; Agentic</x:v>
      </x:c>
      <x:c r="K25" s="98" t="str">
        <x:v>Agent runtime; tools; memory; observability; deployment choices</x:v>
      </x:c>
      <x:c r="L25" s="98" t="str">
        <x:v>Deployment</x:v>
      </x:c>
      <x:c r="M25" s="98" t="str">
        <x:v>Design; Build</x:v>
      </x:c>
      <x:c r="N25" s="98" t="str">
        <x:v>Platform Topology</x:v>
      </x:c>
      <x:c r="O25" s="98" t="str">
        <x:v>Google Cloud</x:v>
      </x:c>
      <x:c r="P25" s="98" t="str">
        <x:v>Detailed</x:v>
      </x:c>
      <x:c r="Q25" s="98" t="str">
        <x:v>A production agent runtime platform, historically centered on custom runtime choices.</x:v>
      </x:c>
      <x:c r="R25" s="98" t="str">
        <x:v>Show Vertex AI Agent Engine as a managed production option alongside custom runtimes.</x:v>
      </x:c>
      <x:c r="S25" s="98" t="str">
        <x:v>An architecture that implies GKE is the only production agent runtime.</x:v>
      </x:c>
      <x:c r="T25" s="98" t="str">
        <x:v>Agent Engine; Cloud Run/GKE custom options; tool/MCP access; memory/session state; secrets; policy; tracing/evaluation; CI/CD.</x:v>
      </x:c>
      <x:c r="U25" s="98" t="str">
        <x:v>Related to #7/#8/#21/#50.</x:v>
      </x:c>
      <x:c r="V25" s="98" t="str">
        <x:v>Partial</x:v>
      </x:c>
      <x:c r="W25" s="98" t="str">
        <x:v>P1</x:v>
      </x:c>
      <x:c r="X25" s="98" t="str">
        <x:v>3.2 Technical Accuracy Cleanup</x:v>
      </x:c>
      <x:c r="Y25" s="58" t="str">
        <x:v>Not Reviewed</x:v>
      </x:c>
    </x:row>
    <x:row r="26" ht="62" customHeight="1">
      <x:c r="A26" s="57" t="str">
        <x:v>Existing</x:v>
      </x:c>
      <x:c r="B26" s="98" t="n">
        <x:v>20</x:v>
      </x:c>
      <x:c r="C26" s="98" t="str">
        <x:v>P4-SEC-P-05_tech_agentic_mesh</x:v>
      </x:c>
      <x:c r="D26" s="98" t="str">
        <x:v>Hybrid Multi-Cloud Networking &amp; Gemini Enterprise</x:v>
      </x:c>
      <x:c r="E26" s="98" t="str">
        <x:v>P0 REBUILD</x:v>
      </x:c>
      <x:c r="F26" s="98" t="str">
        <x:v>REBUILD</x:v>
      </x:c>
      <x:c r="G26" s="98" t="str">
        <x:v>Hybrid Multi-Cloud Networking &amp; Gemini Enterprise</x:v>
      </x:c>
      <x:c r="H26" s="98" t="str">
        <x:v>Network Design</x:v>
      </x:c>
      <x:c r="I26" s="98" t="str">
        <x:v>HLD; Security Architecture; HA / DR Plan</x:v>
      </x:c>
      <x:c r="J26" s="98" t="str">
        <x:v>Cloud Platform &amp; Networking</x:v>
      </x:c>
      <x:c r="K26" s="98" t="str">
        <x:v>Hybrid connectivity; multi-cloud; routing; zero trust; observability</x:v>
      </x:c>
      <x:c r="L26" s="98" t="str">
        <x:v>Deployment</x:v>
      </x:c>
      <x:c r="M26" s="98" t="str">
        <x:v>Design; Build; Operate</x:v>
      </x:c>
      <x:c r="N26" s="98" t="str">
        <x:v>Network Topology</x:v>
      </x:c>
      <x:c r="O26" s="98" t="str">
        <x:v>Multi-cloud</x:v>
      </x:c>
      <x:c r="P26" s="98" t="str">
        <x:v>Detailed</x:v>
      </x:c>
      <x:c r="Q26" s="98" t="str">
        <x:v>A hybrid/multi-cloud networking concept with Gemini Enterprise, but formatting and technical structure are weak.</x:v>
      </x:c>
      <x:c r="R26" s="98" t="str">
        <x:v>Rebuild from first principles as a network architecture, not an agent-mesh diagram.</x:v>
      </x:c>
      <x:c r="S26" s="98" t="str">
        <x:v>Misleading 'tech_agentic_mesh' presentation; vague cloud arrows; Gemini shown as a networking control plane; overlapping labels/flows.</x:v>
      </x:c>
      <x:c r="T26" s="98" t="str">
        <x:v>On-prem + AWS/Azure + Google Cloud; Network Connectivity Center; Cloud Interconnect; HA VPN; Cloud Router/BGP; Shared VPC; PSC; DNS; firewall policy; zero-trust identity; logging/monitoring; Gemini-assisted operations as an overlay, not control plane.</x:v>
      </x:c>
      <x:c r="U26" s="98" t="str">
        <x:v>Related to #17 landing zone, #16 secure deployment, proposed #56 private connectivity.</x:v>
      </x:c>
      <x:c r="V26" s="98" t="str">
        <x:v>Yes</x:v>
      </x:c>
      <x:c r="W26" s="98" t="str">
        <x:v>P0</x:v>
      </x:c>
      <x:c r="X26" s="98" t="str">
        <x:v>3.1 Critical Architecture Rebuilds</x:v>
      </x:c>
      <x:c r="Y26" s="58" t="str">
        <x:v>PNG Approved / XML Pending</x:v>
      </x:c>
    </x:row>
    <x:row r="27" ht="62" customHeight="1">
      <x:c r="A27" s="57" t="str">
        <x:v>Existing</x:v>
      </x:c>
      <x:c r="B27" s="98" t="n">
        <x:v>21</x:v>
      </x:c>
      <x:c r="C27" s="98" t="str">
        <x:v>P4-AI-P-06_tech_eval_safety</x:v>
      </x:c>
      <x:c r="D27" s="98" t="str">
        <x:v>Agentic AI Evaluation, Safety &amp; Optimization Platform</x:v>
      </x:c>
      <x:c r="E27" s="98" t="str">
        <x:v>KEEP + UPDATE</x:v>
      </x:c>
      <x:c r="F27" s="98" t="str">
        <x:v>KEEP</x:v>
      </x:c>
      <x:c r="G27" s="98" t="str">
        <x:v>Agentic AI Evaluation, Safety &amp; Optimization Platform</x:v>
      </x:c>
      <x:c r="H27" s="98" t="str">
        <x:v>AI / Agentic Architecture</x:v>
      </x:c>
      <x:c r="I27" s="98" t="str">
        <x:v>Security Architecture; COE / Operating Model</x:v>
      </x:c>
      <x:c r="J27" s="98" t="str">
        <x:v>AI &amp; Agentic</x:v>
      </x:c>
      <x:c r="K27" s="98" t="str">
        <x:v>Evaluation; safety; optimization; red teaming</x:v>
      </x:c>
      <x:c r="L27" s="98" t="str">
        <x:v>Logical</x:v>
      </x:c>
      <x:c r="M27" s="98" t="str">
        <x:v>Design; Operate; Optimize</x:v>
      </x:c>
      <x:c r="N27" s="98" t="str">
        <x:v>Evaluation Pipeline</x:v>
      </x:c>
      <x:c r="O27" s="98" t="str">
        <x:v>Google Cloud</x:v>
      </x:c>
      <x:c r="P27" s="98" t="str">
        <x:v>Detailed</x:v>
      </x:c>
      <x:c r="Q27" s="98" t="str">
        <x:v>Evaluation and safety controls around AI/agent systems.</x:v>
      </x:c>
      <x:c r="R27" s="98" t="str">
        <x:v>Separate offline/online evaluation from runtime prompt/response protection.</x:v>
      </x:c>
      <x:c r="S27" s="98" t="str">
        <x:v>Conflation of Model Armor with model-quality evaluation.</x:v>
      </x:c>
      <x:c r="T27" s="98" t="str">
        <x:v>Offline eval sets; online quality metrics; red teaming; safety metrics; Model Armor runtime screening; human review; release gates.</x:v>
      </x:c>
      <x:c r="U27" s="98" t="str">
        <x:v>Related to #22 and #23.</x:v>
      </x:c>
      <x:c r="V27" s="98" t="str">
        <x:v>Partial</x:v>
      </x:c>
      <x:c r="W27" s="98" t="str">
        <x:v>P1</x:v>
      </x:c>
      <x:c r="X27" s="98" t="str">
        <x:v>3.2 Technical Accuracy Cleanup</x:v>
      </x:c>
      <x:c r="Y27" s="58" t="str">
        <x:v>Not Reviewed</x:v>
      </x:c>
    </x:row>
    <x:row r="28" ht="62" customHeight="1">
      <x:c r="A28" s="57" t="str">
        <x:v>Existing</x:v>
      </x:c>
      <x:c r="B28" s="98" t="n">
        <x:v>22</x:v>
      </x:c>
      <x:c r="C28" s="98" t="str">
        <x:v>P4-GOV-L-07_ai_trism_guardrails</x:v>
      </x:c>
      <x:c r="D28" s="98" t="str">
        <x:v>AI TRiSM Security Guardrail Pipeline</x:v>
      </x:c>
      <x:c r="E28" s="98" t="str">
        <x:v>CHANGE</x:v>
      </x:c>
      <x:c r="F28" s="98" t="str">
        <x:v>CHANGE</x:v>
      </x:c>
      <x:c r="G28" s="98" t="str">
        <x:v>AI Security, Risk &amp; Guardrail Architecture</x:v>
      </x:c>
      <x:c r="H28" s="98" t="str">
        <x:v>Security Architecture</x:v>
      </x:c>
      <x:c r="I28" s="98" t="str">
        <x:v>AI / Agentic Architecture; COE / Operating Model</x:v>
      </x:c>
      <x:c r="J28" s="98" t="str">
        <x:v>AI &amp; Agentic</x:v>
      </x:c>
      <x:c r="K28" s="98" t="str">
        <x:v>Policy; risk tiers; runtime protection; audit; approvals</x:v>
      </x:c>
      <x:c r="L28" s="98" t="str">
        <x:v>Logical</x:v>
      </x:c>
      <x:c r="M28" s="98" t="str">
        <x:v>Define; Design; Operate</x:v>
      </x:c>
      <x:c r="N28" s="98" t="str">
        <x:v>Guardrail / Policy Pipeline</x:v>
      </x:c>
      <x:c r="O28" s="98" t="str">
        <x:v>Google Cloud</x:v>
      </x:c>
      <x:c r="P28" s="98" t="str">
        <x:v>Detailed</x:v>
      </x:c>
      <x:c r="Q28" s="98" t="str">
        <x:v>Trust, risk and security guardrails around AI.</x:v>
      </x:c>
      <x:c r="R28" s="98" t="str">
        <x:v>Translate TRiSM language into concrete, implementable AI security and governance controls.</x:v>
      </x:c>
      <x:c r="S28" s="98" t="str">
        <x:v>Duplicate control boxes and marketing-level labels without enforcement points.</x:v>
      </x:c>
      <x:c r="T28" s="98" t="str">
        <x:v>Risk tiering; IAM; Model Armor; Sensitive Data Protection; policy engine; approval; audit; monitoring; exception handling.</x:v>
      </x:c>
      <x:c r="U28" s="98" t="str">
        <x:v>Related to #21 evaluation and #23 HITL.</x:v>
      </x:c>
      <x:c r="V28" s="98" t="str">
        <x:v>Yes</x:v>
      </x:c>
      <x:c r="W28" s="98" t="str">
        <x:v>P1</x:v>
      </x:c>
      <x:c r="X28" s="98" t="str">
        <x:v>3.2 Technical Accuracy Cleanup</x:v>
      </x:c>
      <x:c r="Y28" s="58" t="str">
        <x:v>Not Reviewed</x:v>
      </x:c>
    </x:row>
    <x:row r="29" ht="62" customHeight="1">
      <x:c r="A29" s="57" t="str">
        <x:v>Existing</x:v>
      </x:c>
      <x:c r="B29" s="98" t="n">
        <x:v>23</x:v>
      </x:c>
      <x:c r="C29" s="98" t="str">
        <x:v>P4-GOV-L-08_ai_agent_approval_workflow</x:v>
      </x:c>
      <x:c r="D29" s="98" t="str">
        <x:v>AI Agent Approval Workflow &amp; Human-in-the-Loop Governance</x:v>
      </x:c>
      <x:c r="E29" s="98" t="str">
        <x:v>KEEP</x:v>
      </x:c>
      <x:c r="F29" s="98" t="str">
        <x:v>KEEP</x:v>
      </x:c>
      <x:c r="G29" s="98" t="str">
        <x:v>AI Agent Approval Workflow &amp; Human-in-the-Loop Governance</x:v>
      </x:c>
      <x:c r="H29" s="98" t="str">
        <x:v>FDD</x:v>
      </x:c>
      <x:c r="I29" s="98" t="str">
        <x:v>AI / Agentic Architecture; COE / Operating Model; Security Architecture</x:v>
      </x:c>
      <x:c r="J29" s="98" t="str">
        <x:v>AI &amp; Agentic</x:v>
      </x:c>
      <x:c r="K29" s="98" t="str">
        <x:v>Human approval; escalation; risk gates; audit</x:v>
      </x:c>
      <x:c r="L29" s="98" t="str">
        <x:v>Process</x:v>
      </x:c>
      <x:c r="M29" s="98" t="str">
        <x:v>Define; Design; Operate</x:v>
      </x:c>
      <x:c r="N29" s="98" t="str">
        <x:v>Workflow / Swimlane</x:v>
      </x:c>
      <x:c r="O29" s="98" t="str">
        <x:v>Cloud-agnostic / Google Cloud</x:v>
      </x:c>
      <x:c r="P29" s="98" t="str">
        <x:v>Standard</x:v>
      </x:c>
      <x:c r="Q29" s="98" t="str">
        <x:v>Human approval and governance workflow for AI actions.</x:v>
      </x:c>
      <x:c r="R29" s="98" t="str">
        <x:v>Make approval authority, escalation and automation boundaries explicit.</x:v>
      </x:c>
      <x:c r="S29" s="98" t="str">
        <x:v>Binary Authorization or deployment-security controls presented as human-governance mechanisms.</x:v>
      </x:c>
      <x:c r="T29" s="98" t="str">
        <x:v>Risk-based approval criteria; SLA; escalation path; audit evidence; timeout/fallback; automated low-risk path.</x:v>
      </x:c>
      <x:c r="U29" s="98" t="str">
        <x:v>Related to #21/#22.</x:v>
      </x:c>
      <x:c r="V29" s="98" t="str">
        <x:v>Partial</x:v>
      </x:c>
      <x:c r="W29" s="98" t="str">
        <x:v>P2</x:v>
      </x:c>
      <x:c r="X29" s="98" t="str">
        <x:v>3.5 Visual Rebuild / Fidelity</x:v>
      </x:c>
      <x:c r="Y29" s="58" t="str">
        <x:v>Not Reviewed</x:v>
      </x:c>
    </x:row>
    <x:row r="30" ht="62" customHeight="1">
      <x:c r="A30" s="57" t="str">
        <x:v>Existing</x:v>
      </x:c>
      <x:c r="B30" s="98" t="n">
        <x:v>24</x:v>
      </x:c>
      <x:c r="C30" s="98" t="str">
        <x:v>P4-GOV-P-09_devsecops_ci_cd_pipeline</x:v>
      </x:c>
      <x:c r="D30" s="98" t="str">
        <x:v>Enterprise DevSecOps Polyrepo CI/CD Pipeline Flow</x:v>
      </x:c>
      <x:c r="E30" s="98" t="str">
        <x:v>REBUILD</x:v>
      </x:c>
      <x:c r="F30" s="98" t="str">
        <x:v>REBUILD</x:v>
      </x:c>
      <x:c r="G30" s="98" t="str">
        <x:v>Enterprise DevSecOps Software Supply Chain &amp; CI/CD</x:v>
      </x:c>
      <x:c r="H30" s="98" t="str">
        <x:v>Release / Cutover Plan</x:v>
      </x:c>
      <x:c r="I30" s="98" t="str">
        <x:v>HLD; LLD / TDD; Security Architecture</x:v>
      </x:c>
      <x:c r="J30" s="98" t="str">
        <x:v>DevSecOps &amp; Release</x:v>
      </x:c>
      <x:c r="K30" s="98" t="str">
        <x:v>Source; build; test; artifact; policy; deploy; rollback</x:v>
      </x:c>
      <x:c r="L30" s="98" t="str">
        <x:v>Deployment</x:v>
      </x:c>
      <x:c r="M30" s="98" t="str">
        <x:v>Build; Release</x:v>
      </x:c>
      <x:c r="N30" s="98" t="str">
        <x:v>CI/CD Pipeline</x:v>
      </x:c>
      <x:c r="O30" s="98" t="str">
        <x:v>Google Cloud / Hybrid</x:v>
      </x:c>
      <x:c r="P30" s="98" t="str">
        <x:v>Detailed</x:v>
      </x:c>
      <x:c r="Q30" s="98" t="str">
        <x:v>Polyrepo CI/CD flow with build, test and deployment stages.</x:v>
      </x:c>
      <x:c r="R30" s="98" t="str">
        <x:v>Modernize source/repository choices and make software-supply-chain controls first-class.</x:v>
      </x:c>
      <x:c r="S30" s="98" t="str">
        <x:v>Cloud Source Repositories as the default; generic security scan boxes without gating semantics.</x:v>
      </x:c>
      <x:c r="T30" s="98" t="str">
        <x:v>GitHub/GitLab/Secure Source Manager; Cloud Build or external CI; Artifact Registry; provenance/SLSA; Binary Authorization; policy gates; progressive rollout; rollback.</x:v>
      </x:c>
      <x:c r="U30" s="98" t="str">
        <x:v>Related to #31 release/cutover.</x:v>
      </x:c>
      <x:c r="V30" s="98" t="str">
        <x:v>Yes</x:v>
      </x:c>
      <x:c r="W30" s="98" t="str">
        <x:v>P0</x:v>
      </x:c>
      <x:c r="X30" s="98" t="str">
        <x:v>3.2 Technical Accuracy Cleanup</x:v>
      </x:c>
      <x:c r="Y30" s="58" t="str">
        <x:v>Not Reviewed</x:v>
      </x:c>
    </x:row>
    <x:row r="31" ht="62" customHeight="1">
      <x:c r="A31" s="57" t="str">
        <x:v>Existing</x:v>
      </x:c>
      <x:c r="B31" s="98" t="n">
        <x:v>25</x:v>
      </x:c>
      <x:c r="C31" s="98" t="str">
        <x:v>P4-APP-L-10_enterprise_event_driven_eda_mesh</x:v>
      </x:c>
      <x:c r="D31" s="98" t="str">
        <x:v>Event-Driven Architecture (EDA) &amp; Kafka Event Mesh</x:v>
      </x:c>
      <x:c r="E31" s="98" t="str">
        <x:v>KEEP + CHANGE</x:v>
      </x:c>
      <x:c r="F31" s="98" t="str">
        <x:v>CHANGE</x:v>
      </x:c>
      <x:c r="G31" s="98" t="str">
        <x:v>Enterprise Event Mesh: Pub/Sub, Kafka &amp; Cross-Platform Integration</x:v>
      </x:c>
      <x:c r="H31" s="98" t="str">
        <x:v>HLD</x:v>
      </x:c>
      <x:c r="I31" s="98" t="str">
        <x:v>FDD; LLD / TDD; Application Integration Design</x:v>
      </x:c>
      <x:c r="J31" s="98" t="str">
        <x:v>Application &amp; Integration</x:v>
      </x:c>
      <x:c r="K31" s="98" t="str">
        <x:v>Pub/Sub; Kafka; schema; replay; DLQ; bridge</x:v>
      </x:c>
      <x:c r="L31" s="98" t="str">
        <x:v>Logical</x:v>
      </x:c>
      <x:c r="M31" s="98" t="str">
        <x:v>Design; Build</x:v>
      </x:c>
      <x:c r="N31" s="98" t="str">
        <x:v>Event Mesh / Data Flow</x:v>
      </x:c>
      <x:c r="O31" s="98" t="str">
        <x:v>Hybrid / Multi-cloud</x:v>
      </x:c>
      <x:c r="P31" s="98" t="str">
        <x:v>Detailed</x:v>
      </x:c>
      <x:c r="Q31" s="98" t="str">
        <x:v>An event-driven mesh combining Kafka and cloud messaging.</x:v>
      </x:c>
      <x:c r="R31" s="98" t="str">
        <x:v>Show Pub/Sub and Kafka as distinct technologies with explicit integration/bridge patterns.</x:v>
      </x:c>
      <x:c r="S31" s="98" t="str">
        <x:v>Any implication that Kafka and Pub/Sub are interchangeable implementations of the same broker.</x:v>
      </x:c>
      <x:c r="T31" s="98" t="str">
        <x:v>Bridge/replication; schema governance; ordering; consumer groups/subscriptions; DLQ; replay; idempotency; observability.</x:v>
      </x:c>
      <x:c r="U31" s="98" t="str">
        <x:v>Related to #26 serverless EDA; #25 is enterprise/mixed-broker, #26 is GCP-native serverless.</x:v>
      </x:c>
      <x:c r="V31" s="98" t="str">
        <x:v>Partial</x:v>
      </x:c>
      <x:c r="W31" s="98" t="str">
        <x:v>P1</x:v>
      </x:c>
      <x:c r="X31" s="98" t="str">
        <x:v>3.3 Duplication &amp; Portfolio Rationalization</x:v>
      </x:c>
      <x:c r="Y31" s="58" t="str">
        <x:v>Not Reviewed</x:v>
      </x:c>
    </x:row>
    <x:row r="32" ht="62" customHeight="1">
      <x:c r="A32" s="57" t="str">
        <x:v>Existing</x:v>
      </x:c>
      <x:c r="B32" s="98" t="n">
        <x:v>26</x:v>
      </x:c>
      <x:c r="C32" s="98" t="str">
        <x:v>P4-APP-L-11_serverless_eda_architecture</x:v>
      </x:c>
      <x:c r="D32" s="98" t="str">
        <x:v>Serverless EDA Architecture</x:v>
      </x:c>
      <x:c r="E32" s="98" t="str">
        <x:v>KEEP — REFERENCE</x:v>
      </x:c>
      <x:c r="F32" s="98" t="str">
        <x:v>KEEP</x:v>
      </x:c>
      <x:c r="G32" s="98" t="str">
        <x:v>Google Cloud Serverless Event-Driven Architecture</x:v>
      </x:c>
      <x:c r="H32" s="98" t="str">
        <x:v>HLD</x:v>
      </x:c>
      <x:c r="I32" s="98" t="str">
        <x:v>FDD; LLD / TDD; Application Integration Design</x:v>
      </x:c>
      <x:c r="J32" s="98" t="str">
        <x:v>Application &amp; Integration</x:v>
      </x:c>
      <x:c r="K32" s="98" t="str">
        <x:v>Eventarc; Pub/Sub; Cloud Run; DLQ; analytics; AI</x:v>
      </x:c>
      <x:c r="L32" s="98" t="str">
        <x:v>Logical</x:v>
      </x:c>
      <x:c r="M32" s="98" t="str">
        <x:v>Design; Build</x:v>
      </x:c>
      <x:c r="N32" s="98" t="str">
        <x:v>EDA / Data Flow</x:v>
      </x:c>
      <x:c r="O32" s="98" t="str">
        <x:v>Google Cloud</x:v>
      </x:c>
      <x:c r="P32" s="98" t="str">
        <x:v>Detailed</x:v>
      </x:c>
      <x:c r="Q32" s="98" t="str">
        <x:v>A redesigned GCP-native serverless EDA reference with clear stages and flows.</x:v>
      </x:c>
      <x:c r="R32" s="98" t="str">
        <x:v>Use as a visual/technical baseline; only address regression issues found in live rendering.</x:v>
      </x:c>
      <x:c r="S32" s="98" t="str">
        <x:v>Any remaining duplicate in-canvas title/header after the global chrome change.</x:v>
      </x:c>
      <x:c r="T32" s="98" t="str">
        <x:v>Only incremental QA fixes; do not broaden scope and recreate overlap with #25.</x:v>
      </x:c>
      <x:c r="U32" s="98" t="str">
        <x:v>Reference-quality baseline for Batch 3 visual work.</x:v>
      </x:c>
      <x:c r="V32" s="98" t="str">
        <x:v>No</x:v>
      </x:c>
      <x:c r="W32" s="98" t="str">
        <x:v>P2</x:v>
      </x:c>
      <x:c r="X32" s="98" t="str">
        <x:v>3.6 Catalog QA &amp; Certification</x:v>
      </x:c>
      <x:c r="Y32" s="58" t="str">
        <x:v>Live — Reverify After Global Styling</x:v>
      </x:c>
    </x:row>
    <x:row r="33" ht="62" customHeight="1">
      <x:c r="A33" s="57" t="str">
        <x:v>Existing</x:v>
      </x:c>
      <x:c r="B33" s="98" t="n">
        <x:v>27</x:v>
      </x:c>
      <x:c r="C33" s="98" t="str">
        <x:v>P4-DAT-P-12_multimodal_ingestion_flow</x:v>
      </x:c>
      <x:c r="D33" s="98" t="str">
        <x:v>Multimodal Ingestion Flow</x:v>
      </x:c>
      <x:c r="E33" s="98" t="str">
        <x:v>KEEP + CHANGE</x:v>
      </x:c>
      <x:c r="F33" s="98" t="str">
        <x:v>CHANGE</x:v>
      </x:c>
      <x:c r="G33" s="98" t="str">
        <x:v>Enterprise Multimodal Ingestion &amp; Content Understanding</x:v>
      </x:c>
      <x:c r="H33" s="98" t="str">
        <x:v>Data Architecture</x:v>
      </x:c>
      <x:c r="I33" s="98" t="str">
        <x:v>AI / Agentic Architecture; HLD</x:v>
      </x:c>
      <x:c r="J33" s="98" t="str">
        <x:v>Data &amp; Analytics</x:v>
      </x:c>
      <x:c r="K33" s="98" t="str">
        <x:v>Documents; images; audio; metadata; extraction; validation</x:v>
      </x:c>
      <x:c r="L33" s="98" t="str">
        <x:v>Logical</x:v>
      </x:c>
      <x:c r="M33" s="98" t="str">
        <x:v>Design; Build</x:v>
      </x:c>
      <x:c r="N33" s="98" t="str">
        <x:v>Data Flow</x:v>
      </x:c>
      <x:c r="O33" s="98" t="str">
        <x:v>Google Cloud</x:v>
      </x:c>
      <x:c r="P33" s="98" t="str">
        <x:v>Detailed</x:v>
      </x:c>
      <x:c r="Q33" s="98" t="str">
        <x:v>A single multimodal ingestion flow into AI/data processing.</x:v>
      </x:c>
      <x:c r="R33" s="98" t="str">
        <x:v>Branch by modality before converging on normalized metadata/content.</x:v>
      </x:c>
      <x:c r="S33" s="98" t="str">
        <x:v>One generic ingestion path that suggests all modalities use the same extraction technology.</x:v>
      </x:c>
      <x:c r="T33" s="98" t="str">
        <x:v>Document AI; image/video analysis where relevant; speech/audio processing; metadata normalization; Sensitive Data Protection; validation; index/RAG paths.</x:v>
      </x:c>
      <x:c r="U33" s="98" t="str">
        <x:v>Related to proposed #60 IDP; #27 is multimodal, #60 is document-centric business processing.</x:v>
      </x:c>
      <x:c r="V33" s="98" t="str">
        <x:v>Yes</x:v>
      </x:c>
      <x:c r="W33" s="98" t="str">
        <x:v>P1</x:v>
      </x:c>
      <x:c r="X33" s="98" t="str">
        <x:v>3.2 Technical Accuracy Cleanup</x:v>
      </x:c>
      <x:c r="Y33" s="58" t="str">
        <x:v>Not Reviewed</x:v>
      </x:c>
    </x:row>
    <x:row r="34" ht="62" customHeight="1">
      <x:c r="A34" s="57" t="str">
        <x:v>Existing</x:v>
      </x:c>
      <x:c r="B34" s="98" t="n">
        <x:v>28</x:v>
      </x:c>
      <x:c r="C34" s="98" t="str">
        <x:v>P4-DAT-P-13_real_time_streaming_analytics</x:v>
      </x:c>
      <x:c r="D34" s="98" t="str">
        <x:v>Real-Time Streaming Analytics</x:v>
      </x:c>
      <x:c r="E34" s="98" t="str">
        <x:v>KEEP</x:v>
      </x:c>
      <x:c r="F34" s="98" t="str">
        <x:v>KEEP</x:v>
      </x:c>
      <x:c r="G34" s="98" t="str">
        <x:v>Real-Time Streaming Analytics Architecture</x:v>
      </x:c>
      <x:c r="H34" s="98" t="str">
        <x:v>Data Architecture</x:v>
      </x:c>
      <x:c r="I34" s="98" t="str">
        <x:v>HLD; Operations / SRE</x:v>
      </x:c>
      <x:c r="J34" s="98" t="str">
        <x:v>Data &amp; Analytics</x:v>
      </x:c>
      <x:c r="K34" s="98" t="str">
        <x:v>Streaming; event time; idempotency; serving; alerts</x:v>
      </x:c>
      <x:c r="L34" s="98" t="str">
        <x:v>Logical</x:v>
      </x:c>
      <x:c r="M34" s="98" t="str">
        <x:v>Design; Build; Operate</x:v>
      </x:c>
      <x:c r="N34" s="98" t="str">
        <x:v>Streaming Data Flow</x:v>
      </x:c>
      <x:c r="O34" s="98" t="str">
        <x:v>Google Cloud</x:v>
      </x:c>
      <x:c r="P34" s="98" t="str">
        <x:v>Detailed</x:v>
      </x:c>
      <x:c r="Q34" s="98" t="str">
        <x:v>Real-time ingestion, processing, analytics and serving.</x:v>
      </x:c>
      <x:c r="R34" s="98" t="str">
        <x:v>Contextualize delivery/processing guarantees instead of presenting exactly-once as universal.</x:v>
      </x:c>
      <x:c r="S34" s="98" t="str">
        <x:v>Blanket exactly-once claims or arrows that hide replay/late-data behavior.</x:v>
      </x:c>
      <x:c r="T34" s="98" t="str">
        <x:v>Pub/Sub; Dataflow; event-time/watermarks; idempotency; DLQ; late data; streaming sink; observability.</x:v>
      </x:c>
      <x:c r="U34" s="98" t="str">
        <x:v>Related to #25/#26 but focused on analytics.</x:v>
      </x:c>
      <x:c r="V34" s="98" t="str">
        <x:v>Partial</x:v>
      </x:c>
      <x:c r="W34" s="98" t="str">
        <x:v>P2</x:v>
      </x:c>
      <x:c r="X34" s="98" t="str">
        <x:v>3.5 Visual Rebuild / Fidelity</x:v>
      </x:c>
      <x:c r="Y34" s="58" t="str">
        <x:v>Not Reviewed</x:v>
      </x:c>
    </x:row>
    <x:row r="35" ht="62" customHeight="1">
      <x:c r="A35" s="57" t="str">
        <x:v>Existing</x:v>
      </x:c>
      <x:c r="B35" s="98" t="n">
        <x:v>29</x:v>
      </x:c>
      <x:c r="C35" s="98" t="str">
        <x:v>P5-APP-L-01_six_rs_migration_matrix</x:v>
      </x:c>
      <x:c r="D35" s="98" t="str">
        <x:v>6Rs Migration Disposition Matrix</x:v>
      </x:c>
      <x:c r="E35" s="98" t="str">
        <x:v>KEEP + NORMALIZE</x:v>
      </x:c>
      <x:c r="F35" s="98" t="str">
        <x:v>KEEP</x:v>
      </x:c>
      <x:c r="G35" s="98" t="str">
        <x:v>6Rs Application Migration Disposition Matrix</x:v>
      </x:c>
      <x:c r="H35" s="98" t="str">
        <x:v>Migration Plan</x:v>
      </x:c>
      <x:c r="I35" s="98" t="str">
        <x:v>Executive Architecture Brief; BRD</x:v>
      </x:c>
      <x:c r="J35" s="98" t="str">
        <x:v>Enterprise Strategy &amp; Transformation</x:v>
      </x:c>
      <x:c r="K35" s="98" t="str">
        <x:v>Disposition; migration strategy; risk; wave planning</x:v>
      </x:c>
      <x:c r="L35" s="98" t="str">
        <x:v>Conceptual</x:v>
      </x:c>
      <x:c r="M35" s="98" t="str">
        <x:v>Discover; Define</x:v>
      </x:c>
      <x:c r="N35" s="98" t="str">
        <x:v>Decision Matrix</x:v>
      </x:c>
      <x:c r="O35" s="98" t="str">
        <x:v>Cloud-agnostic</x:v>
      </x:c>
      <x:c r="P35" s="98" t="str">
        <x:v>Executive</x:v>
      </x:c>
      <x:c r="Q35" s="98" t="str">
        <x:v>Migration disposition choices across the 6Rs.</x:v>
      </x:c>
      <x:c r="R35" s="98" t="str">
        <x:v>Use one canonical 6R vocabulary consistently across labels and decision logic.</x:v>
      </x:c>
      <x:c r="S35" s="98" t="str">
        <x:v>Inconsistent R names or overlapping definitions.</x:v>
      </x:c>
      <x:c r="T35" s="98" t="str">
        <x:v>Decision criteria; cost/complexity/risk; target pattern; dependency on wave planning; owner/approval.</x:v>
      </x:c>
      <x:c r="U35" s="98" t="str">
        <x:v>Related to #1 dependency map.</x:v>
      </x:c>
      <x:c r="V35" s="98" t="str">
        <x:v>Partial</x:v>
      </x:c>
      <x:c r="W35" s="98" t="str">
        <x:v>P2</x:v>
      </x:c>
      <x:c r="X35" s="98" t="str">
        <x:v>3.2 Technical Accuracy Cleanup</x:v>
      </x:c>
      <x:c r="Y35" s="58" t="str">
        <x:v>Not Reviewed</x:v>
      </x:c>
    </x:row>
    <x:row r="36" ht="62" customHeight="1">
      <x:c r="A36" s="57" t="str">
        <x:v>Existing</x:v>
      </x:c>
      <x:c r="B36" s="98" t="n">
        <x:v>30</x:v>
      </x:c>
      <x:c r="C36" s="98" t="str">
        <x:v>P5-SEC-P-02_enterprise_sre_observability</x:v>
      </x:c>
      <x:c r="D36" s="98" t="str">
        <x:v>Enterprise SRE &amp; Observability Architecture</x:v>
      </x:c>
      <x:c r="E36" s="98" t="str">
        <x:v>REBUILD</x:v>
      </x:c>
      <x:c r="F36" s="98" t="str">
        <x:v>REBUILD</x:v>
      </x:c>
      <x:c r="G36" s="98" t="str">
        <x:v>Enterprise SRE, Observability &amp; Reliability Architecture</x:v>
      </x:c>
      <x:c r="H36" s="98" t="str">
        <x:v>Operations / SRE</x:v>
      </x:c>
      <x:c r="I36" s="98" t="str">
        <x:v>HLD; HA / DR Plan</x:v>
      </x:c>
      <x:c r="J36" s="98" t="str">
        <x:v>Reliability &amp; Operations</x:v>
      </x:c>
      <x:c r="K36" s="98" t="str">
        <x:v>Telemetry; SLO; alerting; incident; error budgets</x:v>
      </x:c>
      <x:c r="L36" s="98" t="str">
        <x:v>Deployment</x:v>
      </x:c>
      <x:c r="M36" s="98" t="str">
        <x:v>Operate; Optimize</x:v>
      </x:c>
      <x:c r="N36" s="98" t="str">
        <x:v>Observability / Operations Topology</x:v>
      </x:c>
      <x:c r="O36" s="98" t="str">
        <x:v>Google Cloud</x:v>
      </x:c>
      <x:c r="P36" s="98" t="str">
        <x:v>Detailed</x:v>
      </x:c>
      <x:c r="Q36" s="98" t="str">
        <x:v>SRE and observability services, but taxonomy and flow are weak.</x:v>
      </x:c>
      <x:c r="R36" s="98" t="str">
        <x:v>Center the design on telemetry-to-detection-to-response-to-learning.</x:v>
      </x:c>
      <x:c r="S36" s="98" t="str">
        <x:v>Cloud-infrastructure-security classification and monitoring boxes without SLO/incident context.</x:v>
      </x:c>
      <x:c r="T36" s="98" t="str">
        <x:v>Metrics/logs/traces; Cloud Monitoring/Logging/Trace; SLI/SLO; error budgets; alerting; on-call; runbooks; incident workflow; postmortem feedback.</x:v>
      </x:c>
      <x:c r="U36" s="98" t="str">
        <x:v>Related to #32 incident and #37 DR.</x:v>
      </x:c>
      <x:c r="V36" s="98" t="str">
        <x:v>Yes</x:v>
      </x:c>
      <x:c r="W36" s="98" t="str">
        <x:v>P0</x:v>
      </x:c>
      <x:c r="X36" s="98" t="str">
        <x:v>3.2 Technical Accuracy Cleanup</x:v>
      </x:c>
      <x:c r="Y36" s="58" t="str">
        <x:v>Not Reviewed</x:v>
      </x:c>
    </x:row>
    <x:row r="37" ht="62" customHeight="1">
      <x:c r="A37" s="57" t="str">
        <x:v>Existing</x:v>
      </x:c>
      <x:c r="B37" s="98" t="n">
        <x:v>31</x:v>
      </x:c>
      <x:c r="C37" s="98" t="str">
        <x:v>P5-GOV-P-03_golive_warroom_runbook</x:v>
      </x:c>
      <x:c r="D37" s="98" t="str">
        <x:v>Go-Live Cutover &amp; War Room Runbook</x:v>
      </x:c>
      <x:c r="E37" s="98" t="str">
        <x:v>KEEP — REFERENCE</x:v>
      </x:c>
      <x:c r="F37" s="98" t="str">
        <x:v>KEEP</x:v>
      </x:c>
      <x:c r="G37" s="98" t="str">
        <x:v>Go-Live Cutover &amp; War Room Runbook</x:v>
      </x:c>
      <x:c r="H37" s="98" t="str">
        <x:v>Release / Cutover Plan</x:v>
      </x:c>
      <x:c r="I37" s="98" t="str">
        <x:v>Operations / SRE; HA / DR Plan</x:v>
      </x:c>
      <x:c r="J37" s="98" t="str">
        <x:v>DevSecOps &amp; Release</x:v>
      </x:c>
      <x:c r="K37" s="98" t="str">
        <x:v>Cutover; go/no-go; verification; rollback; hypercare</x:v>
      </x:c>
      <x:c r="L37" s="98" t="str">
        <x:v>Process</x:v>
      </x:c>
      <x:c r="M37" s="98" t="str">
        <x:v>Release</x:v>
      </x:c>
      <x:c r="N37" s="98" t="str">
        <x:v>Operational Runbook</x:v>
      </x:c>
      <x:c r="O37" s="98" t="str">
        <x:v>Google Cloud</x:v>
      </x:c>
      <x:c r="P37" s="98" t="str">
        <x:v>Detailed</x:v>
      </x:c>
      <x:c r="Q37" s="98" t="str">
        <x:v>Redesigned six-stage cutover/war-room runbook with command structure, rollback and telemetry.</x:v>
      </x:c>
      <x:c r="R37" s="98" t="str">
        <x:v>Only correct terminology and live-render regressions.</x:v>
      </x:c>
      <x:c r="S37" s="98" t="str">
        <x:v>Duplicate in-canvas title/header; use 'Cloud Load Balancing' rather than legacy product wording.</x:v>
      </x:c>
      <x:c r="T37" s="98" t="str">
        <x:v>Explicit note that numeric RTO/RPO/error thresholds are example targets configured per workload/SLO.</x:v>
      </x:c>
      <x:c r="U37" s="98" t="str">
        <x:v>Reference-quality detailed process template.</x:v>
      </x:c>
      <x:c r="V37" s="98" t="str">
        <x:v>No</x:v>
      </x:c>
      <x:c r="W37" s="98" t="str">
        <x:v>P2</x:v>
      </x:c>
      <x:c r="X37" s="98" t="str">
        <x:v>3.6 Catalog QA &amp; Certification</x:v>
      </x:c>
      <x:c r="Y37" s="58" t="str">
        <x:v>Live — Reverify After Global Styling</x:v>
      </x:c>
    </x:row>
    <x:row r="38" ht="62" customHeight="1">
      <x:c r="A38" s="57" t="str">
        <x:v>Existing</x:v>
      </x:c>
      <x:c r="B38" s="98" t="n">
        <x:v>32</x:v>
      </x:c>
      <x:c r="C38" s="98" t="str">
        <x:v>P5-GOV-L-04_incident_triage_swimlane</x:v>
      </x:c>
      <x:c r="D38" s="98" t="str">
        <x:v>Incident Triage &amp; SRE Escalation Swimlane</x:v>
      </x:c>
      <x:c r="E38" s="98" t="str">
        <x:v>KEEP + CHANGE</x:v>
      </x:c>
      <x:c r="F38" s="98" t="str">
        <x:v>CHANGE</x:v>
      </x:c>
      <x:c r="G38" s="98" t="str">
        <x:v>Incident Triage, Escalation &amp; SRE Response Swimlane</x:v>
      </x:c>
      <x:c r="H38" s="98" t="str">
        <x:v>Operations / SRE</x:v>
      </x:c>
      <x:c r="I38" s="98" t="str">
        <x:v>Release / Cutover Plan; FDD</x:v>
      </x:c>
      <x:c r="J38" s="98" t="str">
        <x:v>Reliability &amp; Operations</x:v>
      </x:c>
      <x:c r="K38" s="98" t="str">
        <x:v>Triage; severity; ownership; escalation; postmortem</x:v>
      </x:c>
      <x:c r="L38" s="98" t="str">
        <x:v>Process</x:v>
      </x:c>
      <x:c r="M38" s="98" t="str">
        <x:v>Operate</x:v>
      </x:c>
      <x:c r="N38" s="98" t="str">
        <x:v>Swimlane</x:v>
      </x:c>
      <x:c r="O38" s="98" t="str">
        <x:v>Cloud-agnostic / Google Cloud</x:v>
      </x:c>
      <x:c r="P38" s="98" t="str">
        <x:v>Standard</x:v>
      </x:c>
      <x:c r="Q38" s="98" t="str">
        <x:v>An incident swimlane across teams and escalation steps.</x:v>
      </x:c>
      <x:c r="R38" s="98" t="str">
        <x:v>Make ownership and severity transitions explicit; Gemini can assist, not own RCA.</x:v>
      </x:c>
      <x:c r="S38" s="98" t="str">
        <x:v>AI-generated RCA shown as authoritative or final.</x:v>
      </x:c>
      <x:c r="T38" s="98" t="str">
        <x:v>Alert intake; severity; ownership; mitigation; communication; escalation; recovery; postmortem; evidence/audit.</x:v>
      </x:c>
      <x:c r="U38" s="98" t="str">
        <x:v>Operational behavior view for #30.</x:v>
      </x:c>
      <x:c r="V38" s="98" t="str">
        <x:v>Partial</x:v>
      </x:c>
      <x:c r="W38" s="98" t="str">
        <x:v>P1</x:v>
      </x:c>
      <x:c r="X38" s="98" t="str">
        <x:v>3.2 Technical Accuracy Cleanup</x:v>
      </x:c>
      <x:c r="Y38" s="58" t="str">
        <x:v>Not Reviewed</x:v>
      </x:c>
    </x:row>
    <x:row r="39" ht="62" customHeight="1">
      <x:c r="A39" s="57" t="str">
        <x:v>Existing</x:v>
      </x:c>
      <x:c r="B39" s="98" t="n">
        <x:v>33</x:v>
      </x:c>
      <x:c r="C39" s="98" t="str">
        <x:v>P5-AI-L-05_llm_capacity_quota_management</x:v>
      </x:c>
      <x:c r="D39" s="98" t="str">
        <x:v>Comprehensive Topology for LLM Capacity Quota Management</x:v>
      </x:c>
      <x:c r="E39" s="98" t="str">
        <x:v>REBUILD</x:v>
      </x:c>
      <x:c r="F39" s="98" t="str">
        <x:v>REBUILD</x:v>
      </x:c>
      <x:c r="G39" s="98" t="str">
        <x:v>LLM Capacity, Quota &amp; Provisioned Throughput Architecture</x:v>
      </x:c>
      <x:c r="H39" s="98" t="str">
        <x:v>AI / Agentic Architecture</x:v>
      </x:c>
      <x:c r="I39" s="98" t="str">
        <x:v>Operations / SRE; HLD</x:v>
      </x:c>
      <x:c r="J39" s="98" t="str">
        <x:v>AI &amp; Agentic</x:v>
      </x:c>
      <x:c r="K39" s="98" t="str">
        <x:v>Quota; throughput; rate limiting; queuing; fallback</x:v>
      </x:c>
      <x:c r="L39" s="98" t="str">
        <x:v>Logical</x:v>
      </x:c>
      <x:c r="M39" s="98" t="str">
        <x:v>Design; Operate</x:v>
      </x:c>
      <x:c r="N39" s="98" t="str">
        <x:v>Capacity / Control Flow</x:v>
      </x:c>
      <x:c r="O39" s="98" t="str">
        <x:v>Google Cloud</x:v>
      </x:c>
      <x:c r="P39" s="98" t="str">
        <x:v>Detailed</x:v>
      </x:c>
      <x:c r="Q39" s="98" t="str">
        <x:v>A topology for LLM capacity and quota control.</x:v>
      </x:c>
      <x:c r="R39" s="98" t="str">
        <x:v>Separate distinct capacity concepts and show enforceable control points.</x:v>
      </x:c>
      <x:c r="S39" s="98" t="str">
        <x:v>Fictitious 'quota governor' components or one-box capacity management.</x:v>
      </x:c>
      <x:c r="T39" s="98" t="str">
        <x:v>Service quotas; Provisioned Throughput; application rate limits; queue/backpressure; retry/fallback; multi-region/model routing; monitoring and forecasting.</x:v>
      </x:c>
      <x:c r="U39" s="98" t="str">
        <x:v>Related to #5 FinOps but focused on technical capacity.</x:v>
      </x:c>
      <x:c r="V39" s="98" t="str">
        <x:v>Yes</x:v>
      </x:c>
      <x:c r="W39" s="98" t="str">
        <x:v>P0</x:v>
      </x:c>
      <x:c r="X39" s="98" t="str">
        <x:v>3.2 Technical Accuracy Cleanup</x:v>
      </x:c>
      <x:c r="Y39" s="58" t="str">
        <x:v>Not Reviewed</x:v>
      </x:c>
    </x:row>
    <x:row r="40" ht="62" customHeight="1">
      <x:c r="A40" s="57" t="str">
        <x:v>Existing</x:v>
      </x:c>
      <x:c r="B40" s="98" t="n">
        <x:v>34</x:v>
      </x:c>
      <x:c r="C40" s="98" t="str">
        <x:v>P5-AI-L-06_ai_coe_operating_model</x:v>
      </x:c>
      <x:c r="D40" s="98" t="str">
        <x:v>AI Center of Excellence (CoE) Operating Model</x:v>
      </x:c>
      <x:c r="E40" s="98" t="str">
        <x:v>KEEP + CHANGE</x:v>
      </x:c>
      <x:c r="F40" s="98" t="str">
        <x:v>CHANGE</x:v>
      </x:c>
      <x:c r="G40" s="98" t="str">
        <x:v>Enterprise AI Center of Excellence Operating Model</x:v>
      </x:c>
      <x:c r="H40" s="98" t="str">
        <x:v>COE / Operating Model</x:v>
      </x:c>
      <x:c r="I40" s="98" t="str">
        <x:v>Executive Architecture Brief</x:v>
      </x:c>
      <x:c r="J40" s="98" t="str">
        <x:v>Strategy &amp; Operating Model</x:v>
      </x:c>
      <x:c r="K40" s="98" t="str">
        <x:v>Governance; intake; roles; standards; enablement; value</x:v>
      </x:c>
      <x:c r="L40" s="98" t="str">
        <x:v>Conceptual</x:v>
      </x:c>
      <x:c r="M40" s="98" t="str">
        <x:v>Define; Operate; Optimize</x:v>
      </x:c>
      <x:c r="N40" s="98" t="str">
        <x:v>Operating Model</x:v>
      </x:c>
      <x:c r="O40" s="98" t="str">
        <x:v>Cloud-agnostic</x:v>
      </x:c>
      <x:c r="P40" s="98" t="str">
        <x:v>Executive</x:v>
      </x:c>
      <x:c r="Q40" s="98" t="str">
        <x:v>A CoE diagram but historically categorized too close to application architecture.</x:v>
      </x:c>
      <x:c r="R40" s="98" t="str">
        <x:v>Treat it as an organizational/operating model, not a runtime architecture.</x:v>
      </x:c>
      <x:c r="S40" s="98" t="str">
        <x:v>Application-layer semantics and unnecessary service icons.</x:v>
      </x:c>
      <x:c r="T40" s="98" t="str">
        <x:v>Roles; intake/prioritization; standards; reusable assets; governance gates; enablement; metrics; product-feedback loop; operating cadence.</x:v>
      </x:c>
      <x:c r="U40" s="98" t="str">
        <x:v>Related to #5, #21-#23.</x:v>
      </x:c>
      <x:c r="V40" s="98" t="str">
        <x:v>Yes</x:v>
      </x:c>
      <x:c r="W40" s="98" t="str">
        <x:v>P1</x:v>
      </x:c>
      <x:c r="X40" s="98" t="str">
        <x:v>3.2 Technical Accuracy Cleanup</x:v>
      </x:c>
      <x:c r="Y40" s="58" t="str">
        <x:v>Not Reviewed</x:v>
      </x:c>
    </x:row>
    <x:row r="41" ht="62" customHeight="1">
      <x:c r="A41" s="57" t="str">
        <x:v>Existing</x:v>
      </x:c>
      <x:c r="B41" s="98" t="n">
        <x:v>35</x:v>
      </x:c>
      <x:c r="C41" s="98" t="str">
        <x:v>P5-AI-P-07_tech_llmops_lifecycle</x:v>
      </x:c>
      <x:c r="D41" s="98" t="str">
        <x:v>LLMOps Prompt Configuration Lifecycle</x:v>
      </x:c>
      <x:c r="E41" s="98" t="str">
        <x:v>CHANGE</x:v>
      </x:c>
      <x:c r="F41" s="98" t="str">
        <x:v>CHANGE</x:v>
      </x:c>
      <x:c r="G41" s="98" t="str">
        <x:v>LLMOps Prompt, Evaluation &amp; Release Lifecycle</x:v>
      </x:c>
      <x:c r="H41" s="98" t="str">
        <x:v>AI / Agentic Architecture</x:v>
      </x:c>
      <x:c r="I41" s="98" t="str">
        <x:v>Operations / SRE; LLD / TDD</x:v>
      </x:c>
      <x:c r="J41" s="98" t="str">
        <x:v>AI &amp; Agentic</x:v>
      </x:c>
      <x:c r="K41" s="98" t="str">
        <x:v>Prompt versioning; evaluation; approval; release; rollback</x:v>
      </x:c>
      <x:c r="L41" s="98" t="str">
        <x:v>Process</x:v>
      </x:c>
      <x:c r="M41" s="98" t="str">
        <x:v>Build; Operate</x:v>
      </x:c>
      <x:c r="N41" s="98" t="str">
        <x:v>Lifecycle / Pipeline</x:v>
      </x:c>
      <x:c r="O41" s="98" t="str">
        <x:v>Google Cloud</x:v>
      </x:c>
      <x:c r="P41" s="98" t="str">
        <x:v>Standard</x:v>
      </x:c>
      <x:c r="Q41" s="98" t="str">
        <x:v>Prompt configuration lifecycle with some LLMOps concepts.</x:v>
      </x:c>
      <x:c r="R41" s="98" t="str">
        <x:v>Keep the template about prompt/config lifecycle rather than generic model training.</x:v>
      </x:c>
      <x:c r="S41" s="98" t="str">
        <x:v>RLHF/training stages unless explicitly part of the use case.</x:v>
      </x:c>
      <x:c r="T41" s="98" t="str">
        <x:v>Prompt/version store; test set; eval; safety checks; approval; deployment; monitoring; rollback; audit.</x:v>
      </x:c>
      <x:c r="U41" s="98" t="str">
        <x:v>Related to proposed #57 MLOps but deliberately distinct.</x:v>
      </x:c>
      <x:c r="V41" s="98" t="str">
        <x:v>Partial</x:v>
      </x:c>
      <x:c r="W41" s="98" t="str">
        <x:v>P1</x:v>
      </x:c>
      <x:c r="X41" s="98" t="str">
        <x:v>3.2 Technical Accuracy Cleanup</x:v>
      </x:c>
      <x:c r="Y41" s="58" t="str">
        <x:v>Not Reviewed</x:v>
      </x:c>
    </x:row>
    <x:row r="42" ht="62" customHeight="1">
      <x:c r="A42" s="57" t="str">
        <x:v>Existing</x:v>
      </x:c>
      <x:c r="B42" s="98" t="n">
        <x:v>36</x:v>
      </x:c>
      <x:c r="C42" s="98" t="str">
        <x:v>P5-DAT-P-08_dataops_anomaly_detection</x:v>
      </x:c>
      <x:c r="D42" s="98" t="str">
        <x:v>DataOps &amp; Anomaly Detection Architecture</x:v>
      </x:c>
      <x:c r="E42" s="98" t="str">
        <x:v>KEEP + UPDATE</x:v>
      </x:c>
      <x:c r="F42" s="98" t="str">
        <x:v>KEEP</x:v>
      </x:c>
      <x:c r="G42" s="98" t="str">
        <x:v>DataOps, Data Quality &amp; Anomaly Detection Architecture</x:v>
      </x:c>
      <x:c r="H42" s="98" t="str">
        <x:v>Data Architecture</x:v>
      </x:c>
      <x:c r="I42" s="98" t="str">
        <x:v>Operations / SRE</x:v>
      </x:c>
      <x:c r="J42" s="98" t="str">
        <x:v>Data &amp; Analytics</x:v>
      </x:c>
      <x:c r="K42" s="98" t="str">
        <x:v>Data quality; anomaly detection; lineage; remediation</x:v>
      </x:c>
      <x:c r="L42" s="98" t="str">
        <x:v>Logical</x:v>
      </x:c>
      <x:c r="M42" s="98" t="str">
        <x:v>Build; Operate</x:v>
      </x:c>
      <x:c r="N42" s="98" t="str">
        <x:v>DataOps Pipeline</x:v>
      </x:c>
      <x:c r="O42" s="98" t="str">
        <x:v>Google Cloud</x:v>
      </x:c>
      <x:c r="P42" s="98" t="str">
        <x:v>Detailed</x:v>
      </x:c>
      <x:c r="Q42" s="98" t="str">
        <x:v>DataOps pipeline with monitoring/anomaly detection.</x:v>
      </x:c>
      <x:c r="R42" s="98" t="str">
        <x:v>Update governance/catalog terminology and tighten remediation flow.</x:v>
      </x:c>
      <x:c r="S42" s="98" t="str">
        <x:v>Old Dataplex catalog names and alerting without ownership.</x:v>
      </x:c>
      <x:c r="T42" s="98" t="str">
        <x:v>Quality rules; anomaly detection; lineage; ownership; alert; quarantine/remediation; replay; audit.</x:v>
      </x:c>
      <x:c r="U42" s="98" t="str">
        <x:v>Related to #9/#11/#49.</x:v>
      </x:c>
      <x:c r="V42" s="98" t="str">
        <x:v>Partial</x:v>
      </x:c>
      <x:c r="W42" s="98" t="str">
        <x:v>P1</x:v>
      </x:c>
      <x:c r="X42" s="98" t="str">
        <x:v>3.2 Technical Accuracy Cleanup</x:v>
      </x:c>
      <x:c r="Y42" s="58" t="str">
        <x:v>Not Reviewed</x:v>
      </x:c>
    </x:row>
    <x:row r="43" ht="62" customHeight="1">
      <x:c r="A43" s="57" t="str">
        <x:v>Existing</x:v>
      </x:c>
      <x:c r="B43" s="98" t="n">
        <x:v>37</x:v>
      </x:c>
      <x:c r="C43" s="98" t="str">
        <x:v>P5-GOV-P-09_bcdr_multi_region_failover</x:v>
      </x:c>
      <x:c r="D43" s="98" t="str">
        <x:v>Multi-Region Active-Active Disaster Recovery</x:v>
      </x:c>
      <x:c r="E43" s="98" t="str">
        <x:v>P0 REBUILD</x:v>
      </x:c>
      <x:c r="F43" s="98" t="str">
        <x:v>REBUILD</x:v>
      </x:c>
      <x:c r="G43" s="98" t="str">
        <x:v>Multi-Region Active-Passive Disaster Recovery</x:v>
      </x:c>
      <x:c r="H43" s="98" t="str">
        <x:v>HA / DR Plan</x:v>
      </x:c>
      <x:c r="I43" s="98" t="str">
        <x:v>HLD; Release / Cutover Plan; Operations / SRE</x:v>
      </x:c>
      <x:c r="J43" s="98" t="str">
        <x:v>Reliability &amp; Operations</x:v>
      </x:c>
      <x:c r="K43" s="98" t="str">
        <x:v>Failover; replication; RTO/RPO; failback; testing</x:v>
      </x:c>
      <x:c r="L43" s="98" t="str">
        <x:v>Deployment</x:v>
      </x:c>
      <x:c r="M43" s="98" t="str">
        <x:v>Design; Release; Operate</x:v>
      </x:c>
      <x:c r="N43" s="98" t="str">
        <x:v>DR / Failover Topology</x:v>
      </x:c>
      <x:c r="O43" s="98" t="str">
        <x:v>Google Cloud</x:v>
      </x:c>
      <x:c r="P43" s="98" t="str">
        <x:v>Detailed</x:v>
      </x:c>
      <x:c r="Q43" s="98" t="str">
        <x:v>A DR template with metadata/content that historically mixed active-active and active-passive/pilot-light concepts.</x:v>
      </x:c>
      <x:c r="R43" s="98" t="str">
        <x:v>Choose one operating mode and make title, topology and runbook consistent. Current recommended direction: active-passive.</x:v>
      </x:c>
      <x:c r="S43" s="98" t="str">
        <x:v>Active-active title combined with active-passive body; ambiguous replication and failover arrows.</x:v>
      </x:c>
      <x:c r="T43" s="98" t="str">
        <x:v>Primary/secondary regions; workload/data replication; traffic/DNS control; failover gate; RTO/RPO; failback; DR testing cadence; data-consistency notes.</x:v>
      </x:c>
      <x:c r="U43" s="98" t="str">
        <x:v>Different from proposed #53, which is normal HA rather than disaster-recovery operating procedure.</x:v>
      </x:c>
      <x:c r="V43" s="98" t="str">
        <x:v>Yes</x:v>
      </x:c>
      <x:c r="W43" s="98" t="str">
        <x:v>P0</x:v>
      </x:c>
      <x:c r="X43" s="98" t="str">
        <x:v>3.1 Critical Architecture Rebuilds</x:v>
      </x:c>
      <x:c r="Y43" s="58" t="str">
        <x:v>Not Reviewed</x:v>
      </x:c>
    </x:row>
    <x:row r="44" ht="62" customHeight="1">
      <x:c r="A44" s="57" t="str">
        <x:v>Existing</x:v>
      </x:c>
      <x:c r="B44" s="98" t="n">
        <x:v>38</x:v>
      </x:c>
      <x:c r="C44" s="98" t="str">
        <x:v>IND-FINTECH-01_IND-FINTECH-03_automated_personalized_financial_advising</x:v>
      </x:c>
      <x:c r="D44" s="98" t="str">
        <x:v>Automated Personalized Financial Advising</x:v>
      </x:c>
      <x:c r="E44" s="98" t="str">
        <x:v>KEEP + UPDATE</x:v>
      </x:c>
      <x:c r="F44" s="98" t="str">
        <x:v>KEEP</x:v>
      </x:c>
      <x:c r="G44" s="98" t="str">
        <x:v>AI-Assisted Personalized Financial Advising Architecture</x:v>
      </x:c>
      <x:c r="H44" s="98" t="str">
        <x:v>Industry Solution Architecture</x:v>
      </x:c>
      <x:c r="I44" s="98" t="str">
        <x:v>HLD; AI / Agentic Architecture; Security Architecture</x:v>
      </x:c>
      <x:c r="J44" s="98" t="str">
        <x:v>Industry Solutions</x:v>
      </x:c>
      <x:c r="K44" s="98" t="str">
        <x:v>Financial advice; suitability; human oversight; audit</x:v>
      </x:c>
      <x:c r="L44" s="98" t="str">
        <x:v>Logical</x:v>
      </x:c>
      <x:c r="M44" s="98" t="str">
        <x:v>Design</x:v>
      </x:c>
      <x:c r="N44" s="98" t="str">
        <x:v>Industry Reference Architecture</x:v>
      </x:c>
      <x:c r="O44" s="98" t="str">
        <x:v>Google Cloud</x:v>
      </x:c>
      <x:c r="P44" s="98" t="str">
        <x:v>Standard</x:v>
      </x:c>
      <x:c r="Q44" s="98" t="str">
        <x:v>Personalized financial-advice flow using AI and enterprise data.</x:v>
      </x:c>
      <x:c r="R44" s="98" t="str">
        <x:v>Make human-advisor, suitability and regulatory controls explicit.</x:v>
      </x:c>
      <x:c r="S44" s="98" t="str">
        <x:v>Hard-coded model versions and fully autonomous final advice.</x:v>
      </x:c>
      <x:c r="T44" s="98" t="str">
        <x:v>Suitability/profile checks; human advisor approval; explainability; PII protection; consent; audit trail; model/risk monitoring.</x:v>
      </x:c>
      <x:c r="U44" s="98" t="str">
        <x:v>Industry-specific.</x:v>
      </x:c>
      <x:c r="V44" s="98" t="str">
        <x:v>Partial</x:v>
      </x:c>
      <x:c r="W44" s="98" t="str">
        <x:v>P1</x:v>
      </x:c>
      <x:c r="X44" s="98" t="str">
        <x:v>3.2 Technical Accuracy Cleanup</x:v>
      </x:c>
      <x:c r="Y44" s="58" t="str">
        <x:v>Not Reviewed</x:v>
      </x:c>
    </x:row>
    <x:row r="45" ht="62" customHeight="1">
      <x:c r="A45" s="57" t="str">
        <x:v>Existing</x:v>
      </x:c>
      <x:c r="B45" s="98" t="n">
        <x:v>39</x:v>
      </x:c>
      <x:c r="C45" s="98" t="str">
        <x:v>IND-MFG-02_ge_equipment_optimization_gemini</x:v>
      </x:c>
      <x:c r="D45" s="98" t="str">
        <x:v>Google Cloud Industry 4.0: Smart Factory IoT &amp; Predictive Maintenance Architecture</x:v>
      </x:c>
      <x:c r="E45" s="98" t="str">
        <x:v>DIFFERENTIATE</x:v>
      </x:c>
      <x:c r="F45" s="98" t="str">
        <x:v>DIFFERENTIATE</x:v>
      </x:c>
      <x:c r="G45" s="98" t="str">
        <x:v>Equipment Predictive Maintenance &amp; Closed-Loop Service Architecture</x:v>
      </x:c>
      <x:c r="H45" s="98" t="str">
        <x:v>Industry Solution Architecture</x:v>
      </x:c>
      <x:c r="I45" s="98" t="str">
        <x:v>HLD; Data Architecture; AI / Agentic Architecture</x:v>
      </x:c>
      <x:c r="J45" s="98" t="str">
        <x:v>Industry Solutions</x:v>
      </x:c>
      <x:c r="K45" s="98" t="str">
        <x:v>Asset telemetry; condition monitoring; prediction; work orders</x:v>
      </x:c>
      <x:c r="L45" s="98" t="str">
        <x:v>Logical</x:v>
      </x:c>
      <x:c r="M45" s="98" t="str">
        <x:v>Design; Operate; Optimize</x:v>
      </x:c>
      <x:c r="N45" s="98" t="str">
        <x:v>Industry Reference Architecture / Data Flow</x:v>
      </x:c>
      <x:c r="O45" s="98" t="str">
        <x:v>Google Cloud / Hybrid</x:v>
      </x:c>
      <x:c r="P45" s="98" t="str">
        <x:v>Standard</x:v>
      </x:c>
      <x:c r="Q45" s="98" t="str">
        <x:v>Manufacturing IoT/predictive-maintenance content that overlaps with #42.</x:v>
      </x:c>
      <x:c r="R45" s="98" t="str">
        <x:v>Narrow this template to equipment/asset predictive maintenance and service execution.</x:v>
      </x:c>
      <x:c r="S45" s="98" t="str">
        <x:v>Plant-wide digital-twin/ISA-95 scope that belongs in #42.</x:v>
      </x:c>
      <x:c r="T45" s="98" t="str">
        <x:v>Asset telemetry; edge ingestion; condition features; prediction; anomaly/remaining-life insight; maintenance recommendation; CMMS/work order; technician feedback loop.</x:v>
      </x:c>
      <x:c r="U45" s="98" t="str">
        <x:v>Must be clearly distinct from #42.</x:v>
      </x:c>
      <x:c r="V45" s="98" t="str">
        <x:v>Yes</x:v>
      </x:c>
      <x:c r="W45" s="98" t="str">
        <x:v>P0</x:v>
      </x:c>
      <x:c r="X45" s="98" t="str">
        <x:v>3.3 Duplication &amp; Portfolio Rationalization</x:v>
      </x:c>
      <x:c r="Y45" s="58" t="str">
        <x:v>Not Reviewed</x:v>
      </x:c>
    </x:row>
    <x:row r="46" ht="62" customHeight="1">
      <x:c r="A46" s="57" t="str">
        <x:v>Existing</x:v>
      </x:c>
      <x:c r="B46" s="98" t="n">
        <x:v>40</x:v>
      </x:c>
      <x:c r="C46" s="98" t="str">
        <x:v>IND-PHARMA-03_IND-PHARMA-01_pharma_genomics_pipeline</x:v>
      </x:c>
      <x:c r="D46" s="98" t="str">
        <x:v>Pharma-Specific Genomics &amp; Drug Discovery Pipeline with Agentic AI</x:v>
      </x:c>
      <x:c r="E46" s="98" t="str">
        <x:v>KEEP + UPDATE</x:v>
      </x:c>
      <x:c r="F46" s="98" t="str">
        <x:v>KEEP</x:v>
      </x:c>
      <x:c r="G46" s="98" t="str">
        <x:v>Pharma Genomics &amp; AI-Assisted Drug Discovery Architecture</x:v>
      </x:c>
      <x:c r="H46" s="98" t="str">
        <x:v>Industry Solution Architecture</x:v>
      </x:c>
      <x:c r="I46" s="98" t="str">
        <x:v>Data Architecture; AI / Agentic Architecture; Security Architecture</x:v>
      </x:c>
      <x:c r="J46" s="98" t="str">
        <x:v>Industry Solutions</x:v>
      </x:c>
      <x:c r="K46" s="98" t="str">
        <x:v>Genomics; scientific AI; regulated data; audit</x:v>
      </x:c>
      <x:c r="L46" s="98" t="str">
        <x:v>Logical</x:v>
      </x:c>
      <x:c r="M46" s="98" t="str">
        <x:v>Design; Build</x:v>
      </x:c>
      <x:c r="N46" s="98" t="str">
        <x:v>Industry Reference Architecture / Data Flow</x:v>
      </x:c>
      <x:c r="O46" s="98" t="str">
        <x:v>Google Cloud</x:v>
      </x:c>
      <x:c r="P46" s="98" t="str">
        <x:v>Detailed</x:v>
      </x:c>
      <x:c r="Q46" s="98" t="str">
        <x:v>Genomics and drug-discovery pipeline with AI components.</x:v>
      </x:c>
      <x:c r="R46" s="98" t="str">
        <x:v>Make regulated scientific workflow, validation and data controls explicit.</x:v>
      </x:c>
      <x:c r="S46" s="98" t="str">
        <x:v>Product labels such as 'AlphaFold Pro' presented as a generic managed GCP service.</x:v>
      </x:c>
      <x:c r="T46" s="98" t="str">
        <x:v>Sequencing/genomics data; scalable compute/data processing; AI/ML analysis; experiment provenance; human scientific review; audit; sensitive-data controls.</x:v>
      </x:c>
      <x:c r="U46" s="98" t="str">
        <x:v>Industry-specific.</x:v>
      </x:c>
      <x:c r="V46" s="98" t="str">
        <x:v>Partial</x:v>
      </x:c>
      <x:c r="W46" s="98" t="str">
        <x:v>P1</x:v>
      </x:c>
      <x:c r="X46" s="98" t="str">
        <x:v>3.2 Technical Accuracy Cleanup</x:v>
      </x:c>
      <x:c r="Y46" s="58" t="str">
        <x:v>Not Reviewed</x:v>
      </x:c>
    </x:row>
    <x:row r="47" ht="62" customHeight="1">
      <x:c r="A47" s="57" t="str">
        <x:v>Existing</x:v>
      </x:c>
      <x:c r="B47" s="98" t="n">
        <x:v>41</x:v>
      </x:c>
      <x:c r="C47" s="98" t="str">
        <x:v>IND-RETAIL-04_omnichannel_ecommerce_retail</x:v>
      </x:c>
      <x:c r="D47" s="98" t="str">
        <x:v>Google Cloud Retail Platform: OmniChannel Intelligent Commerce &amp; Retail AI Architecture</x:v>
      </x:c>
      <x:c r="E47" s="98" t="str">
        <x:v>KEEP</x:v>
      </x:c>
      <x:c r="F47" s="98" t="str">
        <x:v>KEEP</x:v>
      </x:c>
      <x:c r="G47" s="98" t="str">
        <x:v>Omnichannel Intelligent Commerce &amp; Retail AI Architecture</x:v>
      </x:c>
      <x:c r="H47" s="98" t="str">
        <x:v>Industry Solution Architecture</x:v>
      </x:c>
      <x:c r="I47" s="98" t="str">
        <x:v>HLD; Data Architecture; AI / Agentic Architecture</x:v>
      </x:c>
      <x:c r="J47" s="98" t="str">
        <x:v>Industry Solutions</x:v>
      </x:c>
      <x:c r="K47" s="98" t="str">
        <x:v>Commerce; inventory; customer data; personalization</x:v>
      </x:c>
      <x:c r="L47" s="98" t="str">
        <x:v>Logical</x:v>
      </x:c>
      <x:c r="M47" s="98" t="str">
        <x:v>Design</x:v>
      </x:c>
      <x:c r="N47" s="98" t="str">
        <x:v>Industry Reference Architecture</x:v>
      </x:c>
      <x:c r="O47" s="98" t="str">
        <x:v>Google Cloud</x:v>
      </x:c>
      <x:c r="P47" s="98" t="str">
        <x:v>Standard</x:v>
      </x:c>
      <x:c r="Q47" s="98" t="str">
        <x:v>Omnichannel commerce, retail data and AI/personalization.</x:v>
      </x:c>
      <x:c r="R47" s="98" t="str">
        <x:v>Separate systems of record from intelligence/personalization layers.</x:v>
      </x:c>
      <x:c r="S47" s="98" t="str">
        <x:v>Conflation of transactional truth with recommendation/concierge components.</x:v>
      </x:c>
      <x:c r="T47" s="98" t="str">
        <x:v>Channels; order/inventory; customer data; event stream; personalization/search; consent; analytics; observability.</x:v>
      </x:c>
      <x:c r="U47" s="98" t="str">
        <x:v>Industry-specific.</x:v>
      </x:c>
      <x:c r="V47" s="98" t="str">
        <x:v>Partial</x:v>
      </x:c>
      <x:c r="W47" s="98" t="str">
        <x:v>P2</x:v>
      </x:c>
      <x:c r="X47" s="98" t="str">
        <x:v>3.5 Visual Rebuild / Fidelity</x:v>
      </x:c>
      <x:c r="Y47" s="58" t="str">
        <x:v>Not Reviewed</x:v>
      </x:c>
    </x:row>
    <x:row r="48" ht="62" customHeight="1">
      <x:c r="A48" s="57" t="str">
        <x:v>Existing</x:v>
      </x:c>
      <x:c r="B48" s="98" t="n">
        <x:v>42</x:v>
      </x:c>
      <x:c r="C48" s="98" t="str">
        <x:v>IND-MFG-05_smart_manufacturing_iot</x:v>
      </x:c>
      <x:c r="D48" s="98" t="str">
        <x:v>Google Cloud Industry 4.0: Smart Factory IoT &amp; Predictive Maintenance Platform</x:v>
      </x:c>
      <x:c r="E48" s="98" t="str">
        <x:v>DIFFERENTIATE</x:v>
      </x:c>
      <x:c r="F48" s="98" t="str">
        <x:v>DIFFERENTIATE</x:v>
      </x:c>
      <x:c r="G48" s="98" t="str">
        <x:v>Smart Factory Digital Twin &amp; Edge-to-Cloud Operations Platform</x:v>
      </x:c>
      <x:c r="H48" s="98" t="str">
        <x:v>Industry Solution Architecture</x:v>
      </x:c>
      <x:c r="I48" s="98" t="str">
        <x:v>HLD; Network Design; Data Architecture</x:v>
      </x:c>
      <x:c r="J48" s="98" t="str">
        <x:v>Industry Solutions</x:v>
      </x:c>
      <x:c r="K48" s="98" t="str">
        <x:v>ISA-95; OT/IT; edge; MES/SCADA; digital twin; operations</x:v>
      </x:c>
      <x:c r="L48" s="98" t="str">
        <x:v>Deployment</x:v>
      </x:c>
      <x:c r="M48" s="98" t="str">
        <x:v>Design; Operate; Optimize</x:v>
      </x:c>
      <x:c r="N48" s="98" t="str">
        <x:v>Industry Platform / Topology</x:v>
      </x:c>
      <x:c r="O48" s="98" t="str">
        <x:v>Google Cloud / Hybrid</x:v>
      </x:c>
      <x:c r="P48" s="98" t="str">
        <x:v>Detailed</x:v>
      </x:c>
      <x:c r="Q48" s="98" t="str">
        <x:v>Smart-manufacturing/IoT content with substantial overlap with #39.</x:v>
      </x:c>
      <x:c r="R48" s="98" t="str">
        <x:v>Make this the plant-wide ISA-95/digital-twin operating platform rather than another predictive-maintenance diagram.</x:v>
      </x:c>
      <x:c r="S48" s="98" t="str">
        <x:v>Equipment-prediction-centric flow that belongs in #39.</x:v>
      </x:c>
      <x:c r="T48" s="98" t="str">
        <x:v>ISA-95 levels; PLC/SCADA/MES; edge gateways; secure OT/IT boundary; data platform; digital twin; enterprise integration; plant-wide optimization/AI.</x:v>
      </x:c>
      <x:c r="U48" s="98" t="str">
        <x:v>Must be clearly distinct from #39.</x:v>
      </x:c>
      <x:c r="V48" s="98" t="str">
        <x:v>Yes</x:v>
      </x:c>
      <x:c r="W48" s="98" t="str">
        <x:v>P0</x:v>
      </x:c>
      <x:c r="X48" s="98" t="str">
        <x:v>3.3 Duplication &amp; Portfolio Rationalization</x:v>
      </x:c>
      <x:c r="Y48" s="58" t="str">
        <x:v>Not Reviewed</x:v>
      </x:c>
    </x:row>
    <x:row r="49" ht="62" customHeight="1">
      <x:c r="A49" s="57" t="str">
        <x:v>Existing</x:v>
      </x:c>
      <x:c r="B49" s="98" t="n">
        <x:v>43</x:v>
      </x:c>
      <x:c r="C49" s="98" t="str">
        <x:v>IND-HR-06_workforce_talent_ai</x:v>
      </x:c>
      <x:c r="D49" s="98" t="str">
        <x:v>Google Cloud HR &amp; Talent Solution: WorkforceAI People Intelligence Platform</x:v>
      </x:c>
      <x:c r="E49" s="98" t="str">
        <x:v>KEEP + UPDATE</x:v>
      </x:c>
      <x:c r="F49" s="98" t="str">
        <x:v>KEEP</x:v>
      </x:c>
      <x:c r="G49" s="98" t="str">
        <x:v>Workforce AI &amp; People Intelligence Platform</x:v>
      </x:c>
      <x:c r="H49" s="98" t="str">
        <x:v>Industry Solution Architecture</x:v>
      </x:c>
      <x:c r="I49" s="98" t="str">
        <x:v>HLD; Security Architecture; AI / Agentic Architecture</x:v>
      </x:c>
      <x:c r="J49" s="98" t="str">
        <x:v>Industry Solutions</x:v>
      </x:c>
      <x:c r="K49" s="98" t="str">
        <x:v>HR data; talent intelligence; fairness; privacy; human review</x:v>
      </x:c>
      <x:c r="L49" s="98" t="str">
        <x:v>Logical</x:v>
      </x:c>
      <x:c r="M49" s="98" t="str">
        <x:v>Design</x:v>
      </x:c>
      <x:c r="N49" s="98" t="str">
        <x:v>Industry Reference Architecture</x:v>
      </x:c>
      <x:c r="O49" s="98" t="str">
        <x:v>Google Cloud</x:v>
      </x:c>
      <x:c r="P49" s="98" t="str">
        <x:v>Standard</x:v>
      </x:c>
      <x:c r="Q49" s="98" t="str">
        <x:v>HR/talent data and AI intelligence.</x:v>
      </x:c>
      <x:c r="R49" s="98" t="str">
        <x:v>Make fairness, privacy, explainability and human decision authority explicit.</x:v>
      </x:c>
      <x:c r="S49" s="98" t="str">
        <x:v>Fully automated high-impact employment decisions.</x:v>
      </x:c>
      <x:c r="T49" s="98" t="str">
        <x:v>Human review; fairness monitoring; explainability; consent/retention; Sensitive Data Protection; role-based access; audit.</x:v>
      </x:c>
      <x:c r="U49" s="98" t="str">
        <x:v>Industry-specific.</x:v>
      </x:c>
      <x:c r="V49" s="98" t="str">
        <x:v>Partial</x:v>
      </x:c>
      <x:c r="W49" s="98" t="str">
        <x:v>P1</x:v>
      </x:c>
      <x:c r="X49" s="98" t="str">
        <x:v>3.2 Technical Accuracy Cleanup</x:v>
      </x:c>
      <x:c r="Y49" s="58" t="str">
        <x:v>Not Reviewed</x:v>
      </x:c>
    </x:row>
    <x:row r="50" ht="62" customHeight="1">
      <x:c r="A50" s="57" t="str">
        <x:v>Existing</x:v>
      </x:c>
      <x:c r="B50" s="98" t="n">
        <x:v>44</x:v>
      </x:c>
      <x:c r="C50" s="98" t="str">
        <x:v>IND-HEALTH-07_IND-HEALTH-01_healthcare_fhir_hl7</x:v>
      </x:c>
      <x:c r="D50" s="98" t="str">
        <x:v>Google Cloud Healthcare &amp; Life Sciences FHIR/HL7 Clinical AI Platform</x:v>
      </x:c>
      <x:c r="E50" s="98" t="str">
        <x:v>REBUILD / POLISH</x:v>
      </x:c>
      <x:c r="F50" s="98" t="str">
        <x:v>REBUILD</x:v>
      </x:c>
      <x:c r="G50" s="98" t="str">
        <x:v>Healthcare Interoperability, FHIR/HL7 &amp; Clinical AI Platform</x:v>
      </x:c>
      <x:c r="H50" s="98" t="str">
        <x:v>Industry Solution Architecture</x:v>
      </x:c>
      <x:c r="I50" s="98" t="str">
        <x:v>HLD; Data Architecture; Security Architecture; AI / Agentic Architecture</x:v>
      </x:c>
      <x:c r="J50" s="98" t="str">
        <x:v>Industry Solutions</x:v>
      </x:c>
      <x:c r="K50" s="98" t="str">
        <x:v>FHIR/HL7; clinical data; analytics; AI; governance</x:v>
      </x:c>
      <x:c r="L50" s="98" t="str">
        <x:v>Logical</x:v>
      </x:c>
      <x:c r="M50" s="98" t="str">
        <x:v>Design; Build</x:v>
      </x:c>
      <x:c r="N50" s="98" t="str">
        <x:v>Industry Reference Architecture / Data Flow</x:v>
      </x:c>
      <x:c r="O50" s="98" t="str">
        <x:v>Google Cloud / Hybrid</x:v>
      </x:c>
      <x:c r="P50" s="98" t="str">
        <x:v>Detailed</x:v>
      </x:c>
      <x:c r="Q50" s="98" t="str">
        <x:v>FHIR/HL7 clinical integration, data and AI in one platform view.</x:v>
      </x:c>
      <x:c r="R50" s="98" t="str">
        <x:v>Separate interoperability, governed clinical data, analytics/AI and clinical-consumption boundaries.</x:v>
      </x:c>
      <x:c r="S50" s="98" t="str">
        <x:v>AI shown as a clinical decision authority and outdated Sensitive Data Protection naming.</x:v>
      </x:c>
      <x:c r="T50" s="98" t="str">
        <x:v>FHIR/HL7 ingestion; clinical data store; terminology/identity mapping; analytics; governed AI; human clinical oversight; audit; consent/privacy controls.</x:v>
      </x:c>
      <x:c r="U50" s="98" t="str">
        <x:v>Industry-specific but also uses patterns from #9/#11/#27.</x:v>
      </x:c>
      <x:c r="V50" s="98" t="str">
        <x:v>Yes</x:v>
      </x:c>
      <x:c r="W50" s="98" t="str">
        <x:v>P0</x:v>
      </x:c>
      <x:c r="X50" s="98" t="str">
        <x:v>3.2 Technical Accuracy Cleanup</x:v>
      </x:c>
      <x:c r="Y50" s="58" t="str">
        <x:v>Not Reviewed</x:v>
      </x:c>
    </x:row>
    <x:row r="51" ht="62" customHeight="1">
      <x:c r="A51" s="57" t="str">
        <x:v>Existing</x:v>
      </x:c>
      <x:c r="B51" s="98" t="n">
        <x:v>45</x:v>
      </x:c>
      <x:c r="C51" s="98" t="str">
        <x:v>ARCH-C4-01_c4_system_context_container</x:v>
      </x:c>
      <x:c r="D51" s="98" t="str">
        <x:v>C4 System Context &amp; Container Model</x:v>
      </x:c>
      <x:c r="E51" s="98" t="str">
        <x:v>KEEP</x:v>
      </x:c>
      <x:c r="F51" s="98" t="str">
        <x:v>KEEP</x:v>
      </x:c>
      <x:c r="G51" s="98" t="str">
        <x:v>C4 System Context &amp; Container Model</x:v>
      </x:c>
      <x:c r="H51" s="98" t="str">
        <x:v>HLD</x:v>
      </x:c>
      <x:c r="I51" s="98" t="str">
        <x:v>PRD; LLD / TDD</x:v>
      </x:c>
      <x:c r="J51" s="98" t="str">
        <x:v>Architecture Standards</x:v>
      </x:c>
      <x:c r="K51" s="98" t="str">
        <x:v>System context; containers; relationships</x:v>
      </x:c>
      <x:c r="L51" s="98" t="str">
        <x:v>Conceptual</x:v>
      </x:c>
      <x:c r="M51" s="98" t="str">
        <x:v>Design</x:v>
      </x:c>
      <x:c r="N51" s="98" t="str">
        <x:v>C4 L1 / L2</x:v>
      </x:c>
      <x:c r="O51" s="98" t="str">
        <x:v>Cloud-agnostic</x:v>
      </x:c>
      <x:c r="P51" s="98" t="str">
        <x:v>Standard</x:v>
      </x:c>
      <x:c r="Q51" s="98" t="str">
        <x:v>C4 L1/L2 context and container views.</x:v>
      </x:c>
      <x:c r="R51" s="98" t="str">
        <x:v>Preserve C4 semantics over vendor-infographic styling.</x:v>
      </x:c>
      <x:c r="S51" s="98" t="str">
        <x:v>Decorative Google Cloud styling that weakens notation fidelity.</x:v>
      </x:c>
      <x:c r="T51" s="98" t="str">
        <x:v>Clear persons; software systems; containers; responsibilities; relationships; technology labels; C4 legend.</x:v>
      </x:c>
      <x:c r="U51" s="98" t="str">
        <x:v>Parent view for #46.</x:v>
      </x:c>
      <x:c r="V51" s="98" t="str">
        <x:v>No</x:v>
      </x:c>
      <x:c r="W51" s="98" t="str">
        <x:v>P2</x:v>
      </x:c>
      <x:c r="X51" s="98" t="str">
        <x:v>3.6 Catalog QA &amp; Certification</x:v>
      </x:c>
      <x:c r="Y51" s="58" t="str">
        <x:v>Not Reviewed</x:v>
      </x:c>
    </x:row>
    <x:row r="52" ht="62" customHeight="1">
      <x:c r="A52" s="57" t="str">
        <x:v>Existing</x:v>
      </x:c>
      <x:c r="B52" s="98" t="n">
        <x:v>46</x:v>
      </x:c>
      <x:c r="C52" s="98" t="str">
        <x:v>ARCH-C4-02_ARCH-C4-03_c4_component_lld</x:v>
      </x:c>
      <x:c r="D52" s="98" t="str">
        <x:v>C4 Level 3 Component Diagram &amp; Microservice LLD</x:v>
      </x:c>
      <x:c r="E52" s="98" t="str">
        <x:v>CHANGE</x:v>
      </x:c>
      <x:c r="F52" s="98" t="str">
        <x:v>CHANGE</x:v>
      </x:c>
      <x:c r="G52" s="98" t="str">
        <x:v>C4 Level 3 Component &amp; Microservice LLD</x:v>
      </x:c>
      <x:c r="H52" s="98" t="str">
        <x:v>LLD / TDD</x:v>
      </x:c>
      <x:c r="I52" s="98" t="str">
        <x:v>HLD</x:v>
      </x:c>
      <x:c r="J52" s="98" t="str">
        <x:v>Architecture Standards</x:v>
      </x:c>
      <x:c r="K52" s="98" t="str">
        <x:v>Components; interfaces; dependencies; technology</x:v>
      </x:c>
      <x:c r="L52" s="98" t="str">
        <x:v>Logical</x:v>
      </x:c>
      <x:c r="M52" s="98" t="str">
        <x:v>Design; Build</x:v>
      </x:c>
      <x:c r="N52" s="98" t="str">
        <x:v>C4 L3</x:v>
      </x:c>
      <x:c r="O52" s="98" t="str">
        <x:v>Cloud-agnostic</x:v>
      </x:c>
      <x:c r="P52" s="98" t="str">
        <x:v>Detailed</x:v>
      </x:c>
      <x:c r="Q52" s="98" t="str">
        <x:v>C4 component-level decomposition but previously misclassified as physical/operations.</x:v>
      </x:c>
      <x:c r="R52" s="98" t="str">
        <x:v>Keep it as a logical/application LLD and make C4 L3 semantics explicit.</x:v>
      </x:c>
      <x:c r="S52" s="98" t="str">
        <x:v>Physical/operations classification and non-C4 decorative shapes.</x:v>
      </x:c>
      <x:c r="T52" s="98" t="str">
        <x:v>Container boundary; internal components; component responsibilities; interfaces; dependencies; technology choices.</x:v>
      </x:c>
      <x:c r="U52" s="98" t="str">
        <x:v>Child view of #45.</x:v>
      </x:c>
      <x:c r="V52" s="98" t="str">
        <x:v>Partial</x:v>
      </x:c>
      <x:c r="W52" s="98" t="str">
        <x:v>P1</x:v>
      </x:c>
      <x:c r="X52" s="98" t="str">
        <x:v>3.2 Technical Accuracy Cleanup</x:v>
      </x:c>
      <x:c r="Y52" s="58" t="str">
        <x:v>Not Reviewed</x:v>
      </x:c>
    </x:row>
    <x:row r="53" ht="62" customHeight="1">
      <x:c r="A53" s="57" t="str">
        <x:v>Existing</x:v>
      </x:c>
      <x:c r="B53" s="98" t="n">
        <x:v>47</x:v>
      </x:c>
      <x:c r="C53" s="98" t="str">
        <x:v>ARCH-BPMN-03_ARCH-BPMN-01_bpmn_process_workflow</x:v>
      </x:c>
      <x:c r="D53" s="98" t="str">
        <x:v>BPMN 2.0 Business Process &amp; Autonomous Workflow</x:v>
      </x:c>
      <x:c r="E53" s="98" t="str">
        <x:v>KEEP</x:v>
      </x:c>
      <x:c r="F53" s="98" t="str">
        <x:v>KEEP</x:v>
      </x:c>
      <x:c r="G53" s="98" t="str">
        <x:v>BPMN 2.0 Business Process &amp; Autonomous Workflow</x:v>
      </x:c>
      <x:c r="H53" s="98" t="str">
        <x:v>FDD</x:v>
      </x:c>
      <x:c r="I53" s="98" t="str">
        <x:v>BRD; PRD</x:v>
      </x:c>
      <x:c r="J53" s="98" t="str">
        <x:v>Architecture Standards</x:v>
      </x:c>
      <x:c r="K53" s="98" t="str">
        <x:v>Process; roles; gateways; events; automation</x:v>
      </x:c>
      <x:c r="L53" s="98" t="str">
        <x:v>Process</x:v>
      </x:c>
      <x:c r="M53" s="98" t="str">
        <x:v>Define; Design</x:v>
      </x:c>
      <x:c r="N53" s="98" t="str">
        <x:v>BPMN 2.0</x:v>
      </x:c>
      <x:c r="O53" s="98" t="str">
        <x:v>Cloud-agnostic</x:v>
      </x:c>
      <x:c r="P53" s="98" t="str">
        <x:v>Standard</x:v>
      </x:c>
      <x:c r="Q53" s="98" t="str">
        <x:v>BPMN-style lanes, tasks, gateways and events.</x:v>
      </x:c>
      <x:c r="R53" s="98" t="str">
        <x:v>Prioritize BPMN notation fidelity over cloud branding.</x:v>
      </x:c>
      <x:c r="S53" s="98" t="str">
        <x:v>Cloud/service icons inside the process when they do not map to BPMN task semantics.</x:v>
      </x:c>
      <x:c r="T53" s="98" t="str">
        <x:v>Pools/lanes; start/end/intermediate events; user/service tasks; gateways; sequence/message flows; exception paths.</x:v>
      </x:c>
      <x:c r="U53" s="98" t="str">
        <x:v>Detailed process view for BRD/FDD.</x:v>
      </x:c>
      <x:c r="V53" s="98" t="str">
        <x:v>No</x:v>
      </x:c>
      <x:c r="W53" s="98" t="str">
        <x:v>P2</x:v>
      </x:c>
      <x:c r="X53" s="98" t="str">
        <x:v>3.6 Catalog QA &amp; Certification</x:v>
      </x:c>
      <x:c r="Y53" s="58" t="str">
        <x:v>Not Reviewed</x:v>
      </x:c>
    </x:row>
    <x:row r="54" ht="62" customHeight="1">
      <x:c r="A54" s="57" t="str">
        <x:v>Existing</x:v>
      </x:c>
      <x:c r="B54" s="98" t="n">
        <x:v>48</x:v>
      </x:c>
      <x:c r="C54" s="98" t="str">
        <x:v>ARCH-SEC-04_ARCH-SEC-01_threat_modeling_stride</x:v>
      </x:c>
      <x:c r="D54" s="98" t="str">
        <x:v>STRIDE Zero-Trust Threat Model &amp; Boundary Map</x:v>
      </x:c>
      <x:c r="E54" s="98" t="str">
        <x:v>KEEP + CHANGE</x:v>
      </x:c>
      <x:c r="F54" s="98" t="str">
        <x:v>CHANGE</x:v>
      </x:c>
      <x:c r="G54" s="98" t="str">
        <x:v>STRIDE Threat Model, Trust Boundaries &amp; Mitigation Map</x:v>
      </x:c>
      <x:c r="H54" s="98" t="str">
        <x:v>Security Architecture</x:v>
      </x:c>
      <x:c r="I54" s="98" t="str">
        <x:v>HLD; LLD / TDD</x:v>
      </x:c>
      <x:c r="J54" s="98" t="str">
        <x:v>Security &amp; Identity</x:v>
      </x:c>
      <x:c r="K54" s="98" t="str">
        <x:v>STRIDE; trust boundaries; threats; mitigations</x:v>
      </x:c>
      <x:c r="L54" s="98" t="str">
        <x:v>Logical</x:v>
      </x:c>
      <x:c r="M54" s="98" t="str">
        <x:v>Design</x:v>
      </x:c>
      <x:c r="N54" s="98" t="str">
        <x:v>STRIDE Threat Model / DFD</x:v>
      </x:c>
      <x:c r="O54" s="98" t="str">
        <x:v>Cloud-agnostic / Google Cloud</x:v>
      </x:c>
      <x:c r="P54" s="98" t="str">
        <x:v>Detailed</x:v>
      </x:c>
      <x:c r="Q54" s="98" t="str">
        <x:v>STRIDE threats and zero-trust concepts.</x:v>
      </x:c>
      <x:c r="R54" s="98" t="str">
        <x:v>Map threats to real elements, data flows and trust boundaries.</x:v>
      </x:c>
      <x:c r="S54" s="98" t="str">
        <x:v>Random threat badges that are not tied to an asset/flow and do not show mitigation.</x:v>
      </x:c>
      <x:c r="T54" s="98" t="str">
        <x:v>Assets; trust boundaries; DFD flows; per-element threat IDs; STRIDE category; severity; mitigation; residual risk.</x:v>
      </x:c>
      <x:c r="U54" s="98" t="str">
        <x:v>Security analysis view for #16/#20 and other HLDs.</x:v>
      </x:c>
      <x:c r="V54" s="98" t="str">
        <x:v>Yes</x:v>
      </x:c>
      <x:c r="W54" s="98" t="str">
        <x:v>P1</x:v>
      </x:c>
      <x:c r="X54" s="98" t="str">
        <x:v>3.2 Technical Accuracy Cleanup</x:v>
      </x:c>
      <x:c r="Y54" s="58" t="str">
        <x:v>Not Reviewed</x:v>
      </x:c>
    </x:row>
    <x:row r="55" ht="62" customHeight="1">
      <x:c r="A55" s="57" t="str">
        <x:v>Existing</x:v>
      </x:c>
      <x:c r="B55" s="98" t="n">
        <x:v>49</x:v>
      </x:c>
      <x:c r="C55" s="98" t="str">
        <x:v>ARCH-DAT-05_ARCH-DAT-01_data_lineage_provenance</x:v>
      </x:c>
      <x:c r="D55" s="98" t="str">
        <x:v>Column-Level Data Lineage &amp; Provenance Graph</x:v>
      </x:c>
      <x:c r="E55" s="98" t="str">
        <x:v>KEEP + UPDATE</x:v>
      </x:c>
      <x:c r="F55" s="98" t="str">
        <x:v>KEEP</x:v>
      </x:c>
      <x:c r="G55" s="98" t="str">
        <x:v>Column-Level Data Lineage, Transformations &amp; Provenance</x:v>
      </x:c>
      <x:c r="H55" s="98" t="str">
        <x:v>Data Architecture</x:v>
      </x:c>
      <x:c r="I55" s="98" t="str">
        <x:v>LLD / TDD; Security Architecture</x:v>
      </x:c>
      <x:c r="J55" s="98" t="str">
        <x:v>Data &amp; Analytics</x:v>
      </x:c>
      <x:c r="K55" s="98" t="str">
        <x:v>Lineage; transformations; provenance; ownership; classification</x:v>
      </x:c>
      <x:c r="L55" s="98" t="str">
        <x:v>Data Model</x:v>
      </x:c>
      <x:c r="M55" s="98" t="str">
        <x:v>Design; Operate</x:v>
      </x:c>
      <x:c r="N55" s="98" t="str">
        <x:v>Lineage Graph</x:v>
      </x:c>
      <x:c r="O55" s="98" t="str">
        <x:v>Google Cloud</x:v>
      </x:c>
      <x:c r="P55" s="98" t="str">
        <x:v>Detailed</x:v>
      </x:c>
      <x:c r="Q55" s="98" t="str">
        <x:v>Column-level source-to-target lineage.</x:v>
      </x:c>
      <x:c r="R55" s="98" t="str">
        <x:v>Use current catalog terminology and make transformations explicit.</x:v>
      </x:c>
      <x:c r="S55" s="98" t="str">
        <x:v>Generic arrows that do not state transformation logic.</x:v>
      </x:c>
      <x:c r="T55" s="98" t="str">
        <x:v>Source column; transform/formula/SQL expression; target column; job/pipeline; owner; classification; Knowledge Catalog integration.</x:v>
      </x:c>
      <x:c r="U55" s="98" t="str">
        <x:v>Related to #10 ERD and #11 governance.</x:v>
      </x:c>
      <x:c r="V55" s="98" t="str">
        <x:v>Partial</x:v>
      </x:c>
      <x:c r="W55" s="98" t="str">
        <x:v>P1</x:v>
      </x:c>
      <x:c r="X55" s="98" t="str">
        <x:v>3.2 Technical Accuracy Cleanup</x:v>
      </x:c>
      <x:c r="Y55" s="58" t="str">
        <x:v>Not Reviewed</x:v>
      </x:c>
    </x:row>
    <x:row r="56" ht="62" customHeight="1">
      <x:c r="A56" s="57" t="str">
        <x:v>Existing</x:v>
      </x:c>
      <x:c r="B56" s="98" t="n">
        <x:v>50</x:v>
      </x:c>
      <x:c r="C56" s="98" t="str">
        <x:v>ARCH-MCP-06_ARCH-MCP-02_model_context_protocol_gateway</x:v>
      </x:c>
      <x:c r="D56" s="98" t="str">
        <x:v>Model Context Protocol (MCP) Gateway</x:v>
      </x:c>
      <x:c r="E56" s="98" t="str">
        <x:v>P0 REBUILD</x:v>
      </x:c>
      <x:c r="F56" s="98" t="str">
        <x:v>REBUILD</x:v>
      </x:c>
      <x:c r="G56" s="98" t="str">
        <x:v>Enterprise MCP Gateway on Google Cloud</x:v>
      </x:c>
      <x:c r="H56" s="98" t="str">
        <x:v>AI / Agentic Architecture</x:v>
      </x:c>
      <x:c r="I56" s="98" t="str">
        <x:v>HLD; LLD / TDD; Security Architecture</x:v>
      </x:c>
      <x:c r="J56" s="98" t="str">
        <x:v>AI &amp; Agentic</x:v>
      </x:c>
      <x:c r="K56" s="98" t="str">
        <x:v>MCP; gateway; auth; policy; tools; remote servers; audit</x:v>
      </x:c>
      <x:c r="L56" s="98" t="str">
        <x:v>Logical</x:v>
      </x:c>
      <x:c r="M56" s="98" t="str">
        <x:v>Design; Build</x:v>
      </x:c>
      <x:c r="N56" s="98" t="str">
        <x:v>MCP Gateway / Remote Tool Topology</x:v>
      </x:c>
      <x:c r="O56" s="98" t="str">
        <x:v>Google Cloud</x:v>
      </x:c>
      <x:c r="P56" s="98" t="str">
        <x:v>Detailed</x:v>
      </x:c>
      <x:c r="Q56" s="98" t="str">
        <x:v>An older context-ingestion/adapters-bus interpretation with tiny text and dated styling.</x:v>
      </x:c>
      <x:c r="R56" s="98" t="str">
        <x:v>Replace with secure stateless remote MCP access centered on enterprise gateway controls.</x:v>
      </x:c>
      <x:c r="S56" s="98" t="str">
        <x:v>Context-bus model; emoji service icons; old tiny formatting; source systems feeding a monolithic context node.</x:v>
      </x:c>
      <x:c r="T56" s="98" t="str">
        <x:v>AI hosts; MCP client layer; enterprise MCP gateway; OAuth/OIDC; IAM/WIF; policy/allowlist; rate limits; Model Armor; protocol/header routing; Cloud Run MCP servers; enterprise tools/data; request/response; audit/logging.</x:v>
      </x:c>
      <x:c r="U56" s="98" t="str">
        <x:v>Approved reference PNG exists; related to #8/#19 but distinct as tool-access gateway.</x:v>
      </x:c>
      <x:c r="V56" s="98" t="str">
        <x:v>Yes</x:v>
      </x:c>
      <x:c r="W56" s="98" t="str">
        <x:v>P0</x:v>
      </x:c>
      <x:c r="X56" s="98" t="str">
        <x:v>3.1 Critical Architecture Rebuilds</x:v>
      </x:c>
      <x:c r="Y56" s="58" t="str">
        <x:v>PNG Approved / XML Pending</x:v>
      </x:c>
    </x:row>
    <x:row r="57" ht="62" customHeight="1">
      <x:c r="A57" s="57" t="str">
        <x:v>Proposed</x:v>
      </x:c>
      <x:c r="B57" s="98" t="n">
        <x:v>51</x:v>
      </x:c>
      <x:c r="C57" s="98" t="str">
        <x:v>NEW-APP-01_enterprise_api_management</x:v>
      </x:c>
      <x:c r="D57" s="98" t="str">
        <x:v>— New Template —</x:v>
      </x:c>
      <x:c r="E57" s="98" t="str">
        <x:v>ADD</x:v>
      </x:c>
      <x:c r="F57" s="98" t="str">
        <x:v>ADD</x:v>
      </x:c>
      <x:c r="G57" s="98" t="str">
        <x:v>Enterprise API Management &amp; Integration Architecture</x:v>
      </x:c>
      <x:c r="H57" s="98" t="str">
        <x:v>HLD</x:v>
      </x:c>
      <x:c r="I57" s="98" t="str">
        <x:v>LLD / TDD; Security Architecture; FDD</x:v>
      </x:c>
      <x:c r="J57" s="98" t="str">
        <x:v>Application &amp; Integration</x:v>
      </x:c>
      <x:c r="K57" s="98" t="str">
        <x:v>Apigee/API Gateway; auth; quotas; routing; mediation; observability; consumers</x:v>
      </x:c>
      <x:c r="L57" s="98" t="str">
        <x:v>Logical</x:v>
      </x:c>
      <x:c r="M57" s="98" t="str">
        <x:v>Design; Build; Operate</x:v>
      </x:c>
      <x:c r="N57" s="98" t="str">
        <x:v>API / Integration Flow</x:v>
      </x:c>
      <x:c r="O57" s="98" t="str">
        <x:v>Google Cloud / Hybrid</x:v>
      </x:c>
      <x:c r="P57" s="98" t="str">
        <x:v>Detailed</x:v>
      </x:c>
      <x:c r="Q57" s="98" t="str">
        <x:v>No dedicated template exists in the current 50.</x:v>
      </x:c>
      <x:c r="R57" s="98" t="str">
        <x:v>Create as a new architecture pattern after the existing 50 are certified.</x:v>
      </x:c>
      <x:c r="S57" s="98" t="str">
        <x:v>N/A — new template. Avoid duplicating an existing template's scope.</x:v>
      </x:c>
      <x:c r="T57" s="98" t="str">
        <x:v>Consumers/channels → edge/LB → Apigee/API Gateway → OAuth/IAM → services → data; quotas; policy; versioning; developer portal; logging/metrics; error handling.</x:v>
      </x:c>
      <x:c r="U57" s="98" t="str">
        <x:v>Designed to close a documented portfolio gap.</x:v>
      </x:c>
      <x:c r="V57" s="98" t="str">
        <x:v>Yes</x:v>
      </x:c>
      <x:c r="W57" s="98" t="str">
        <x:v>P0</x:v>
      </x:c>
      <x:c r="X57" s="98" t="str">
        <x:v>Post-Batch 3 / Expansion</x:v>
      </x:c>
      <x:c r="Y57" s="58" t="str">
        <x:v>Proposed</x:v>
      </x:c>
    </x:row>
    <x:row r="58" ht="62" customHeight="1">
      <x:c r="A58" s="57" t="str">
        <x:v>Proposed</x:v>
      </x:c>
      <x:c r="B58" s="98" t="n">
        <x:v>52</x:v>
      </x:c>
      <x:c r="C58" s="98" t="str">
        <x:v>NEW-PLAT-02_gke_enterprise_platform</x:v>
      </x:c>
      <x:c r="D58" s="98" t="str">
        <x:v>— New Template —</x:v>
      </x:c>
      <x:c r="E58" s="98" t="str">
        <x:v>ADD</x:v>
      </x:c>
      <x:c r="F58" s="98" t="str">
        <x:v>ADD</x:v>
      </x:c>
      <x:c r="G58" s="98" t="str">
        <x:v>GKE / Kubernetes Enterprise Platform Architecture</x:v>
      </x:c>
      <x:c r="H58" s="98" t="str">
        <x:v>HLD</x:v>
      </x:c>
      <x:c r="I58" s="98" t="str">
        <x:v>LLD / TDD; Network Design; Security Architecture; Operations / SRE</x:v>
      </x:c>
      <x:c r="J58" s="98" t="str">
        <x:v>Cloud Platform &amp; Networking</x:v>
      </x:c>
      <x:c r="K58" s="98" t="str">
        <x:v>GKE; ingress; service mesh; workload identity; policy; autoscaling; registry; observability</x:v>
      </x:c>
      <x:c r="L58" s="98" t="str">
        <x:v>Deployment</x:v>
      </x:c>
      <x:c r="M58" s="98" t="str">
        <x:v>Design; Build; Operate</x:v>
      </x:c>
      <x:c r="N58" s="98" t="str">
        <x:v>Platform / Deployment Topology</x:v>
      </x:c>
      <x:c r="O58" s="98" t="str">
        <x:v>Google Cloud</x:v>
      </x:c>
      <x:c r="P58" s="98" t="str">
        <x:v>Detailed</x:v>
      </x:c>
      <x:c r="Q58" s="98" t="str">
        <x:v>No dedicated template exists in the current 50.</x:v>
      </x:c>
      <x:c r="R58" s="98" t="str">
        <x:v>Create as a new architecture pattern after the existing 50 are certified.</x:v>
      </x:c>
      <x:c r="S58" s="98" t="str">
        <x:v>N/A — new template. Avoid duplicating an existing template's scope.</x:v>
      </x:c>
      <x:c r="T58" s="98" t="str">
        <x:v>Fleet/cluster model; ingress/LB; namespaces; workloads; service-to-service networking; Workload Identity; secrets; Artifact Registry; policy; autoscaling; logging/monitoring; CI/CD integration.</x:v>
      </x:c>
      <x:c r="U58" s="98" t="str">
        <x:v>Designed to close a documented portfolio gap.</x:v>
      </x:c>
      <x:c r="V58" s="98" t="str">
        <x:v>Yes</x:v>
      </x:c>
      <x:c r="W58" s="98" t="str">
        <x:v>P0</x:v>
      </x:c>
      <x:c r="X58" s="98" t="str">
        <x:v>Post-Batch 3 / Expansion</x:v>
      </x:c>
      <x:c r="Y58" s="58" t="str">
        <x:v>Proposed</x:v>
      </x:c>
    </x:row>
    <x:row r="59" ht="62" customHeight="1">
      <x:c r="A59" s="57" t="str">
        <x:v>Proposed</x:v>
      </x:c>
      <x:c r="B59" s="98" t="n">
        <x:v>53</x:v>
      </x:c>
      <x:c r="C59" s="98" t="str">
        <x:v>NEW-REL-03_ha_multi_region_application</x:v>
      </x:c>
      <x:c r="D59" s="98" t="str">
        <x:v>— New Template —</x:v>
      </x:c>
      <x:c r="E59" s="98" t="str">
        <x:v>ADD</x:v>
      </x:c>
      <x:c r="F59" s="98" t="str">
        <x:v>ADD</x:v>
      </x:c>
      <x:c r="G59" s="98" t="str">
        <x:v>Highly Available Multi-Region Application Architecture</x:v>
      </x:c>
      <x:c r="H59" s="98" t="str">
        <x:v>HA / DR Plan</x:v>
      </x:c>
      <x:c r="I59" s="98" t="str">
        <x:v>HLD; Network Design; Operations / SRE</x:v>
      </x:c>
      <x:c r="J59" s="98" t="str">
        <x:v>Reliability &amp; Operations</x:v>
      </x:c>
      <x:c r="K59" s="98" t="str">
        <x:v>Multi-region HA; load balancing; replication; health checks; failure domains</x:v>
      </x:c>
      <x:c r="L59" s="98" t="str">
        <x:v>Deployment</x:v>
      </x:c>
      <x:c r="M59" s="98" t="str">
        <x:v>Design; Operate</x:v>
      </x:c>
      <x:c r="N59" s="98" t="str">
        <x:v>HA / Multi-Region Topology</x:v>
      </x:c>
      <x:c r="O59" s="98" t="str">
        <x:v>Google Cloud</x:v>
      </x:c>
      <x:c r="P59" s="98" t="str">
        <x:v>Detailed</x:v>
      </x:c>
      <x:c r="Q59" s="98" t="str">
        <x:v>No dedicated template exists in the current 50.</x:v>
      </x:c>
      <x:c r="R59" s="98" t="str">
        <x:v>Create as a new architecture pattern after the existing 50 are certified.</x:v>
      </x:c>
      <x:c r="S59" s="98" t="str">
        <x:v>N/A — new template. Avoid duplicating an existing template's scope.</x:v>
      </x:c>
      <x:c r="T59" s="98" t="str">
        <x:v>Global/region-aware traffic management; redundant application tiers; data consistency model; health checking; regional failure; zonal failure; degraded mode; SLO impact.</x:v>
      </x:c>
      <x:c r="U59" s="98" t="str">
        <x:v>Designed to close a documented portfolio gap.</x:v>
      </x:c>
      <x:c r="V59" s="98" t="str">
        <x:v>Yes</x:v>
      </x:c>
      <x:c r="W59" s="98" t="str">
        <x:v>P0</x:v>
      </x:c>
      <x:c r="X59" s="98" t="str">
        <x:v>Post-Batch 3 / Expansion</x:v>
      </x:c>
      <x:c r="Y59" s="58" t="str">
        <x:v>Proposed</x:v>
      </x:c>
    </x:row>
    <x:row r="60" ht="62" customHeight="1">
      <x:c r="A60" s="57" t="str">
        <x:v>Proposed</x:v>
      </x:c>
      <x:c r="B60" s="98" t="n">
        <x:v>54</x:v>
      </x:c>
      <x:c r="C60" s="98" t="str">
        <x:v>NEW-DAT-04_etl_elt_cdc_pipeline</x:v>
      </x:c>
      <x:c r="D60" s="98" t="str">
        <x:v>— New Template —</x:v>
      </x:c>
      <x:c r="E60" s="98" t="str">
        <x:v>ADD</x:v>
      </x:c>
      <x:c r="F60" s="98" t="str">
        <x:v>ADD</x:v>
      </x:c>
      <x:c r="G60" s="98" t="str">
        <x:v>Enterprise ETL/ELT &amp; CDC Data Pipeline Architecture</x:v>
      </x:c>
      <x:c r="H60" s="98" t="str">
        <x:v>Data Architecture</x:v>
      </x:c>
      <x:c r="I60" s="98" t="str">
        <x:v>HLD; LLD / TDD; Operations / SRE</x:v>
      </x:c>
      <x:c r="J60" s="98" t="str">
        <x:v>Data &amp; Analytics</x:v>
      </x:c>
      <x:c r="K60" s="98" t="str">
        <x:v>CDC; batch; ETL/ELT; orchestration; quality; warehouse/lake; lineage</x:v>
      </x:c>
      <x:c r="L60" s="98" t="str">
        <x:v>Logical</x:v>
      </x:c>
      <x:c r="M60" s="98" t="str">
        <x:v>Design; Build; Operate</x:v>
      </x:c>
      <x:c r="N60" s="98" t="str">
        <x:v>Data Pipeline / Data Flow</x:v>
      </x:c>
      <x:c r="O60" s="98" t="str">
        <x:v>Google Cloud / Hybrid</x:v>
      </x:c>
      <x:c r="P60" s="98" t="str">
        <x:v>Detailed</x:v>
      </x:c>
      <x:c r="Q60" s="98" t="str">
        <x:v>No dedicated template exists in the current 50.</x:v>
      </x:c>
      <x:c r="R60" s="98" t="str">
        <x:v>Create as a new architecture pattern after the existing 50 are certified.</x:v>
      </x:c>
      <x:c r="S60" s="98" t="str">
        <x:v>N/A — new template. Avoid duplicating an existing template's scope.</x:v>
      </x:c>
      <x:c r="T60" s="98" t="str">
        <x:v>Operational sources; CDC/batch ingestion; landing; transform; data quality; orchestration; curated stores/BigQuery; lineage/catalog; retry/quarantine; monitoring.</x:v>
      </x:c>
      <x:c r="U60" s="98" t="str">
        <x:v>Designed to close a documented portfolio gap.</x:v>
      </x:c>
      <x:c r="V60" s="98" t="str">
        <x:v>Yes</x:v>
      </x:c>
      <x:c r="W60" s="98" t="str">
        <x:v>P0</x:v>
      </x:c>
      <x:c r="X60" s="98" t="str">
        <x:v>Post-Batch 3 / Expansion</x:v>
      </x:c>
      <x:c r="Y60" s="58" t="str">
        <x:v>Proposed</x:v>
      </x:c>
    </x:row>
    <x:row r="61" ht="62" customHeight="1">
      <x:c r="A61" s="57" t="str">
        <x:v>Proposed</x:v>
      </x:c>
      <x:c r="B61" s="98" t="n">
        <x:v>55</x:v>
      </x:c>
      <x:c r="C61" s="98" t="str">
        <x:v>NEW-SEC-05_workload_identity_authorization</x:v>
      </x:c>
      <x:c r="D61" s="98" t="str">
        <x:v>— New Template —</x:v>
      </x:c>
      <x:c r="E61" s="98" t="str">
        <x:v>ADD</x:v>
      </x:c>
      <x:c r="F61" s="98" t="str">
        <x:v>ADD</x:v>
      </x:c>
      <x:c r="G61" s="98" t="str">
        <x:v>Workload Identity &amp; Service-to-Service Authorization Architecture</x:v>
      </x:c>
      <x:c r="H61" s="98" t="str">
        <x:v>IAM Design</x:v>
      </x:c>
      <x:c r="I61" s="98" t="str">
        <x:v>Security Architecture; HLD; LLD / TDD</x:v>
      </x:c>
      <x:c r="J61" s="98" t="str">
        <x:v>Security &amp; Identity</x:v>
      </x:c>
      <x:c r="K61" s="98" t="str">
        <x:v>Workload Identity; service accounts; OAuth/OIDC; mTLS; authorization; secrets</x:v>
      </x:c>
      <x:c r="L61" s="98" t="str">
        <x:v>Logical</x:v>
      </x:c>
      <x:c r="M61" s="98" t="str">
        <x:v>Design; Build</x:v>
      </x:c>
      <x:c r="N61" s="98" t="str">
        <x:v>Identity / Authorization Flow</x:v>
      </x:c>
      <x:c r="O61" s="98" t="str">
        <x:v>Google Cloud / Hybrid</x:v>
      </x:c>
      <x:c r="P61" s="98" t="str">
        <x:v>Detailed</x:v>
      </x:c>
      <x:c r="Q61" s="98" t="str">
        <x:v>No dedicated template exists in the current 50.</x:v>
      </x:c>
      <x:c r="R61" s="98" t="str">
        <x:v>Create as a new architecture pattern after the existing 50 are certified.</x:v>
      </x:c>
      <x:c r="S61" s="98" t="str">
        <x:v>N/A — new template. Avoid duplicating an existing template's scope.</x:v>
      </x:c>
      <x:c r="T61" s="98" t="str">
        <x:v>Workload/service identities; token issuance/exchange; IAM authorization; Workload Identity Federation; service accounts; mTLS where used; secret/KMS boundary; audit.</x:v>
      </x:c>
      <x:c r="U61" s="98" t="str">
        <x:v>Designed to close a documented portfolio gap.</x:v>
      </x:c>
      <x:c r="V61" s="98" t="str">
        <x:v>Yes</x:v>
      </x:c>
      <x:c r="W61" s="98" t="str">
        <x:v>P1</x:v>
      </x:c>
      <x:c r="X61" s="98" t="str">
        <x:v>Post-Batch 3 / Expansion</x:v>
      </x:c>
      <x:c r="Y61" s="58" t="str">
        <x:v>Proposed</x:v>
      </x:c>
    </x:row>
    <x:row r="62" ht="62" customHeight="1">
      <x:c r="A62" s="57" t="str">
        <x:v>Proposed</x:v>
      </x:c>
      <x:c r="B62" s="98" t="n">
        <x:v>56</x:v>
      </x:c>
      <x:c r="C62" s="98" t="str">
        <x:v>NEW-NET-06_private_ingress_egress_connectivity</x:v>
      </x:c>
      <x:c r="D62" s="98" t="str">
        <x:v>— New Template —</x:v>
      </x:c>
      <x:c r="E62" s="98" t="str">
        <x:v>ADD</x:v>
      </x:c>
      <x:c r="F62" s="98" t="str">
        <x:v>ADD</x:v>
      </x:c>
      <x:c r="G62" s="98" t="str">
        <x:v>Private Ingress, Egress &amp; Service Connectivity Architecture</x:v>
      </x:c>
      <x:c r="H62" s="98" t="str">
        <x:v>Network Design</x:v>
      </x:c>
      <x:c r="I62" s="98" t="str">
        <x:v>Security Architecture; HLD; LLD / TDD</x:v>
      </x:c>
      <x:c r="J62" s="98" t="str">
        <x:v>Cloud Platform &amp; Networking</x:v>
      </x:c>
      <x:c r="K62" s="98" t="str">
        <x:v>Ingress; egress; Cloud Armor; load balancing; NAT; PSC; DNS; firewall policy</x:v>
      </x:c>
      <x:c r="L62" s="98" t="str">
        <x:v>Deployment</x:v>
      </x:c>
      <x:c r="M62" s="98" t="str">
        <x:v>Design; Build</x:v>
      </x:c>
      <x:c r="N62" s="98" t="str">
        <x:v>Network / Security Topology</x:v>
      </x:c>
      <x:c r="O62" s="98" t="str">
        <x:v>Google Cloud</x:v>
      </x:c>
      <x:c r="P62" s="98" t="str">
        <x:v>Detailed</x:v>
      </x:c>
      <x:c r="Q62" s="98" t="str">
        <x:v>No dedicated template exists in the current 50.</x:v>
      </x:c>
      <x:c r="R62" s="98" t="str">
        <x:v>Create as a new architecture pattern after the existing 50 are certified.</x:v>
      </x:c>
      <x:c r="S62" s="98" t="str">
        <x:v>N/A — new template. Avoid duplicating an existing template's scope.</x:v>
      </x:c>
      <x:c r="T62" s="98" t="str">
        <x:v>Public/private ingress; Cloud Armor; Cloud Load Balancing; internal LB; Cloud NAT/egress controls; PSC; DNS; firewall policies; proxy controls; logging.</x:v>
      </x:c>
      <x:c r="U62" s="98" t="str">
        <x:v>Designed to close a documented portfolio gap.</x:v>
      </x:c>
      <x:c r="V62" s="98" t="str">
        <x:v>Yes</x:v>
      </x:c>
      <x:c r="W62" s="98" t="str">
        <x:v>P1</x:v>
      </x:c>
      <x:c r="X62" s="98" t="str">
        <x:v>Post-Batch 3 / Expansion</x:v>
      </x:c>
      <x:c r="Y62" s="58" t="str">
        <x:v>Proposed</x:v>
      </x:c>
    </x:row>
    <x:row r="63" ht="62" customHeight="1">
      <x:c r="A63" s="57" t="str">
        <x:v>Proposed</x:v>
      </x:c>
      <x:c r="B63" s="98" t="n">
        <x:v>57</x:v>
      </x:c>
      <x:c r="C63" s="98" t="str">
        <x:v>NEW-AI-07_enterprise_mlops_lifecycle</x:v>
      </x:c>
      <x:c r="D63" s="98" t="str">
        <x:v>— New Template —</x:v>
      </x:c>
      <x:c r="E63" s="98" t="str">
        <x:v>ADD</x:v>
      </x:c>
      <x:c r="F63" s="98" t="str">
        <x:v>ADD</x:v>
      </x:c>
      <x:c r="G63" s="98" t="str">
        <x:v>Enterprise MLOps Lifecycle Architecture</x:v>
      </x:c>
      <x:c r="H63" s="98" t="str">
        <x:v>AI / Agentic Architecture</x:v>
      </x:c>
      <x:c r="I63" s="98" t="str">
        <x:v>HLD; LLD / TDD; Operations / SRE</x:v>
      </x:c>
      <x:c r="J63" s="98" t="str">
        <x:v>AI &amp; Agentic</x:v>
      </x:c>
      <x:c r="K63" s="98" t="str">
        <x:v>Feature engineering; training; model registry; deployment; monitoring; retraining</x:v>
      </x:c>
      <x:c r="L63" s="98" t="str">
        <x:v>Logical</x:v>
      </x:c>
      <x:c r="M63" s="98" t="str">
        <x:v>Build; Operate; Optimize</x:v>
      </x:c>
      <x:c r="N63" s="98" t="str">
        <x:v>MLOps Lifecycle / Pipeline</x:v>
      </x:c>
      <x:c r="O63" s="98" t="str">
        <x:v>Google Cloud</x:v>
      </x:c>
      <x:c r="P63" s="98" t="str">
        <x:v>Detailed</x:v>
      </x:c>
      <x:c r="Q63" s="98" t="str">
        <x:v>No dedicated template exists in the current 50.</x:v>
      </x:c>
      <x:c r="R63" s="98" t="str">
        <x:v>Create as a new architecture pattern after the existing 50 are certified.</x:v>
      </x:c>
      <x:c r="S63" s="98" t="str">
        <x:v>N/A — new template. Avoid duplicating an existing template's scope.</x:v>
      </x:c>
      <x:c r="T63" s="98" t="str">
        <x:v>Data/feature pipeline; training; experiment tracking; model registry; validation; deployment; online/batch inference; drift/performance monitoring; retraining trigger; approval.</x:v>
      </x:c>
      <x:c r="U63" s="98" t="str">
        <x:v>Designed to close a documented portfolio gap.</x:v>
      </x:c>
      <x:c r="V63" s="98" t="str">
        <x:v>Yes</x:v>
      </x:c>
      <x:c r="W63" s="98" t="str">
        <x:v>P1</x:v>
      </x:c>
      <x:c r="X63" s="98" t="str">
        <x:v>Post-Batch 3 / Expansion</x:v>
      </x:c>
      <x:c r="Y63" s="58" t="str">
        <x:v>Proposed</x:v>
      </x:c>
    </x:row>
    <x:row r="64" ht="62" customHeight="1">
      <x:c r="A64" s="57" t="str">
        <x:v>Proposed</x:v>
      </x:c>
      <x:c r="B64" s="98" t="n">
        <x:v>58</x:v>
      </x:c>
      <x:c r="C64" s="98" t="str">
        <x:v>NEW-AI-08_graphrag_knowledge_graph</x:v>
      </x:c>
      <x:c r="D64" s="98" t="str">
        <x:v>— New Template —</x:v>
      </x:c>
      <x:c r="E64" s="98" t="str">
        <x:v>ADD</x:v>
      </x:c>
      <x:c r="F64" s="98" t="str">
        <x:v>ADD</x:v>
      </x:c>
      <x:c r="G64" s="98" t="str">
        <x:v>GraphRAG / Knowledge Graph Architecture</x:v>
      </x:c>
      <x:c r="H64" s="98" t="str">
        <x:v>AI / Agentic Architecture</x:v>
      </x:c>
      <x:c r="I64" s="98" t="str">
        <x:v>Data Architecture; HLD; LLD / TDD</x:v>
      </x:c>
      <x:c r="J64" s="98" t="str">
        <x:v>AI &amp; Agentic</x:v>
      </x:c>
      <x:c r="K64" s="98" t="str">
        <x:v>Knowledge graph; entity/relation extraction; hybrid retrieval; grounded reasoning</x:v>
      </x:c>
      <x:c r="L64" s="98" t="str">
        <x:v>Logical</x:v>
      </x:c>
      <x:c r="M64" s="98" t="str">
        <x:v>Design; Build</x:v>
      </x:c>
      <x:c r="N64" s="98" t="str">
        <x:v>AI / Data Flow</x:v>
      </x:c>
      <x:c r="O64" s="98" t="str">
        <x:v>Google Cloud</x:v>
      </x:c>
      <x:c r="P64" s="98" t="str">
        <x:v>Detailed</x:v>
      </x:c>
      <x:c r="Q64" s="98" t="str">
        <x:v>No dedicated template exists in the current 50.</x:v>
      </x:c>
      <x:c r="R64" s="98" t="str">
        <x:v>Create as a new architecture pattern after the existing 50 are certified.</x:v>
      </x:c>
      <x:c r="S64" s="98" t="str">
        <x:v>N/A — new template. Avoid duplicating an existing template's scope.</x:v>
      </x:c>
      <x:c r="T64" s="98" t="str">
        <x:v>Sources; entity/relation extraction; graph store; vector index; hybrid query planner; retrieval; model/agent reasoning; provenance; evaluation.</x:v>
      </x:c>
      <x:c r="U64" s="98" t="str">
        <x:v>Designed to close a documented portfolio gap.</x:v>
      </x:c>
      <x:c r="V64" s="98" t="str">
        <x:v>Yes</x:v>
      </x:c>
      <x:c r="W64" s="98" t="str">
        <x:v>P1</x:v>
      </x:c>
      <x:c r="X64" s="98" t="str">
        <x:v>Post-Batch 3 / Expansion</x:v>
      </x:c>
      <x:c r="Y64" s="58" t="str">
        <x:v>Proposed</x:v>
      </x:c>
    </x:row>
    <x:row r="65" ht="62" customHeight="1">
      <x:c r="A65" s="57" t="str">
        <x:v>Proposed</x:v>
      </x:c>
      <x:c r="B65" s="98" t="n">
        <x:v>59</x:v>
      </x:c>
      <x:c r="C65" s="98" t="str">
        <x:v>NEW-APP-09_saas_multi_tenant</x:v>
      </x:c>
      <x:c r="D65" s="98" t="str">
        <x:v>— New Template —</x:v>
      </x:c>
      <x:c r="E65" s="98" t="str">
        <x:v>ADD</x:v>
      </x:c>
      <x:c r="F65" s="98" t="str">
        <x:v>ADD</x:v>
      </x:c>
      <x:c r="G65" s="98" t="str">
        <x:v>SaaS Multi-Tenant Application Architecture</x:v>
      </x:c>
      <x:c r="H65" s="98" t="str">
        <x:v>HLD</x:v>
      </x:c>
      <x:c r="I65" s="98" t="str">
        <x:v>LLD / TDD; Security Architecture; IAM Design</x:v>
      </x:c>
      <x:c r="J65" s="98" t="str">
        <x:v>Application &amp; Integration</x:v>
      </x:c>
      <x:c r="K65" s="98" t="str">
        <x:v>Tenant routing; isolation; data partitioning; quotas; encryption; noisy neighbor</x:v>
      </x:c>
      <x:c r="L65" s="98" t="str">
        <x:v>Deployment</x:v>
      </x:c>
      <x:c r="M65" s="98" t="str">
        <x:v>Design; Build</x:v>
      </x:c>
      <x:c r="N65" s="98" t="str">
        <x:v>SaaS / Tenant Topology</x:v>
      </x:c>
      <x:c r="O65" s="98" t="str">
        <x:v>Google Cloud</x:v>
      </x:c>
      <x:c r="P65" s="98" t="str">
        <x:v>Detailed</x:v>
      </x:c>
      <x:c r="Q65" s="98" t="str">
        <x:v>No dedicated template exists in the current 50.</x:v>
      </x:c>
      <x:c r="R65" s="98" t="str">
        <x:v>Create as a new architecture pattern after the existing 50 are certified.</x:v>
      </x:c>
      <x:c r="S65" s="98" t="str">
        <x:v>N/A — new template. Avoid duplicating an existing template's scope.</x:v>
      </x:c>
      <x:c r="T65" s="98" t="str">
        <x:v>Tenant identity; routing; application isolation model; database partition/schema/project choices; per-tenant keys/config; quotas; observability; admin plane; noisy-neighbor protection.</x:v>
      </x:c>
      <x:c r="U65" s="98" t="str">
        <x:v>Designed to close a documented portfolio gap.</x:v>
      </x:c>
      <x:c r="V65" s="98" t="str">
        <x:v>Yes</x:v>
      </x:c>
      <x:c r="W65" s="98" t="str">
        <x:v>P2</x:v>
      </x:c>
      <x:c r="X65" s="98" t="str">
        <x:v>Post-Batch 3 / Expansion</x:v>
      </x:c>
      <x:c r="Y65" s="58" t="str">
        <x:v>Proposed</x:v>
      </x:c>
    </x:row>
    <x:row r="66" ht="62" customHeight="1">
      <x:c r="A66" s="59" t="str">
        <x:v>Proposed</x:v>
      </x:c>
      <x:c r="B66" s="99" t="n">
        <x:v>60</x:v>
      </x:c>
      <x:c r="C66" s="99" t="str">
        <x:v>NEW-AI-10_intelligent_document_processing</x:v>
      </x:c>
      <x:c r="D66" s="99" t="str">
        <x:v>— New Template —</x:v>
      </x:c>
      <x:c r="E66" s="99" t="str">
        <x:v>ADD</x:v>
      </x:c>
      <x:c r="F66" s="99" t="str">
        <x:v>ADD</x:v>
      </x:c>
      <x:c r="G66" s="99" t="str">
        <x:v>Intelligent Document Processing Platform</x:v>
      </x:c>
      <x:c r="H66" s="99" t="str">
        <x:v>Data Architecture</x:v>
      </x:c>
      <x:c r="I66" s="99" t="str">
        <x:v>AI / Agentic Architecture; FDD; HLD</x:v>
      </x:c>
      <x:c r="J66" s="99" t="str">
        <x:v>Data &amp; Analytics</x:v>
      </x:c>
      <x:c r="K66" s="99" t="str">
        <x:v>Document ingestion; OCR/extraction; classification; validation; HITL; search/RAG</x:v>
      </x:c>
      <x:c r="L66" s="99" t="str">
        <x:v>Logical</x:v>
      </x:c>
      <x:c r="M66" s="99" t="str">
        <x:v>Design; Build; Operate</x:v>
      </x:c>
      <x:c r="N66" s="99" t="str">
        <x:v>Document Processing / Data Flow</x:v>
      </x:c>
      <x:c r="O66" s="99" t="str">
        <x:v>Google Cloud</x:v>
      </x:c>
      <x:c r="P66" s="99" t="str">
        <x:v>Detailed</x:v>
      </x:c>
      <x:c r="Q66" s="99" t="str">
        <x:v>No dedicated template exists in the current 50.</x:v>
      </x:c>
      <x:c r="R66" s="99" t="str">
        <x:v>Create as a new architecture pattern after the existing 50 are certified.</x:v>
      </x:c>
      <x:c r="S66" s="99" t="str">
        <x:v>N/A — new template. Avoid duplicating an existing template's scope.</x:v>
      </x:c>
      <x:c r="T66" s="99" t="str">
        <x:v>Document sources; intake; Document AI/OCR; classification/extraction; confidence thresholds; human validation; normalized data; storage/search/RAG; retention; PII controls; monitoring.</x:v>
      </x:c>
      <x:c r="U66" s="99" t="str">
        <x:v>Designed to close a documented portfolio gap.</x:v>
      </x:c>
      <x:c r="V66" s="99" t="str">
        <x:v>Yes</x:v>
      </x:c>
      <x:c r="W66" s="99" t="str">
        <x:v>P2</x:v>
      </x:c>
      <x:c r="X66" s="99" t="str">
        <x:v>Post-Batch 3 / Expansion</x:v>
      </x:c>
      <x:c r="Y66" s="60" t="str">
        <x:v>Proposed</x:v>
      </x:c>
    </x:row>
  </x:sheetData>
  <x:mergeCells>
    <x:mergeCell ref="A1:Y1"/>
    <x:mergeCell ref="A2:Y2"/>
    <x:mergeCell ref="A3:Y3"/>
    <x:mergeCell ref="A4:Y4"/>
  </x:mergeCells>
  <x:conditionalFormatting sqref="W7:W66">
    <x:cfRule type="cellIs" dxfId="0" priority="1">
      <x:formula>"P0"</x:formula>
    </x:cfRule>
    <x:cfRule type="cellIs" dxfId="1" priority="2">
      <x:formula>"P1"</x:formula>
    </x:cfRule>
    <x:cfRule type="cellIs" dxfId="2" priority="3">
      <x:formula>"P2"</x:formula>
    </x:cfRule>
  </x:conditionalFormatting>
  <x:conditionalFormatting sqref="F7:F66">
    <x:cfRule type="cellIs" dxfId="3" priority="4">
      <x:formula>"REBUILD"</x:formula>
    </x:cfRule>
    <x:cfRule type="cellIs" dxfId="4" priority="5">
      <x:formula>"DIFFERENTIATE"</x:formula>
    </x:cfRule>
    <x:cfRule type="cellIs" dxfId="5" priority="6">
      <x:formula>"ADD"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b074703c2f4d9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5" hidden="0" customWidth="1"/>
    <x:col min="3" max="3" width="36" hidden="0" customWidth="1"/>
    <x:col min="4" max="4" width="20" hidden="0" customWidth="1"/>
    <x:col min="5" max="5" width="38" hidden="0" customWidth="1"/>
    <x:col min="6" max="6" width="48" hidden="0" customWidth="1"/>
    <x:col min="7" max="7" width="52" hidden="0" customWidth="1"/>
    <x:col min="8" max="8" width="50" hidden="0" customWidth="1"/>
    <x:col min="9" max="9" width="56" hidden="0" customWidth="1"/>
    <x:col min="10" max="10" width="42" hidden="0" customWidth="1"/>
    <x:col min="11" max="11" width="14" hidden="0" customWidth="1"/>
    <x:col min="12" max="12" width="10" hidden="0" customWidth="1"/>
    <x:col min="13" max="13" width="34" hidden="0" customWidth="1"/>
    <x:col min="14" max="14" width="28" hidden="0" customWidth="1"/>
  </x:cols>
  <x:sheetData>
    <x:row r="1" ht="28" customHeight="1">
      <x:c r="A1" s="4" t="str">
        <x:v>Existing 50 — Keep / Change / Remove / Add Remediation Matrix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11" t="str">
        <x:v>Self-contained blueprint-by-blueprint remediation plan. Use this sheet to drive Batch 3 implementation and record live certification status.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3" ht="28" customHeight="1">
      <x:c r="A3" s="18" t="str">
        <x:v>Decision meanings: KEEP = architecture is fundamentally valid; CHANGE = targeted technical/content revision; REBUILD = first-principles redesign; DIFFERENTIATE = scope must be separated from another blueprint.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</x:row>
    <x:row r="4" ht="28" customHeight="1">
      <x:c r="A4" s="18" t="str">
        <x:v>Priority: P0 = highest technical/portfolio risk; P1 = important cleanup; P2 = polish/certification. Visual Rebuild = Yes/Partial/No.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</x:row>
    <x:row r="6" ht="34" customHeight="1">
      <x:c r="A6" s="30" t="str">
        <x:v>#</x:v>
      </x:c>
      <x:c r="B6" s="135" t="str">
        <x:v>Blueprint ID</x:v>
      </x:c>
      <x:c r="C6" s="135" t="str">
        <x:v>Current Name</x:v>
      </x:c>
      <x:c r="D6" s="135" t="str">
        <x:v>Decision</x:v>
      </x:c>
      <x:c r="E6" s="135" t="str">
        <x:v>Proposed Name</x:v>
      </x:c>
      <x:c r="F6" s="135" t="str">
        <x:v>What We Have</x:v>
      </x:c>
      <x:c r="G6" s="135" t="str">
        <x:v>What Must Change</x:v>
      </x:c>
      <x:c r="H6" s="135" t="str">
        <x:v>What Should Be Removed</x:v>
      </x:c>
      <x:c r="I6" s="135" t="str">
        <x:v>What Should Be Added</x:v>
      </x:c>
      <x:c r="J6" s="135" t="str">
        <x:v>Related / Duplicate With</x:v>
      </x:c>
      <x:c r="K6" s="135" t="str">
        <x:v>Visual Rebuild?</x:v>
      </x:c>
      <x:c r="L6" s="135" t="str">
        <x:v>Priority</x:v>
      </x:c>
      <x:c r="M6" s="135" t="str">
        <x:v>Batch 3 Phase</x:v>
      </x:c>
      <x:c r="N6" s="31" t="str">
        <x:v>QA Status</x:v>
      </x:c>
    </x:row>
    <x:row r="7" ht="70" customHeight="1">
      <x:c r="A7" s="55" t="n">
        <x:v>1</x:v>
      </x:c>
      <x:c r="B7" s="97" t="str">
        <x:v>P1-APP-L-01_legacy_data_dependency_map</x:v>
      </x:c>
      <x:c r="C7" s="97" t="str">
        <x:v>Google Cloud Discovery &amp; Assessment: Legacy Silos to Modern Migration Waves</x:v>
      </x:c>
      <x:c r="D7" s="97" t="str">
        <x:v>CHANGE</x:v>
      </x:c>
      <x:c r="E7" s="97" t="str">
        <x:v>Legacy Data Dependency &amp; Migration Wave Map</x:v>
      </x:c>
      <x:c r="F7" s="97" t="str">
        <x:v>Legacy silos, system dependencies and migration waves are represented.</x:v>
      </x:c>
      <x:c r="G7" s="97" t="str">
        <x:v>Make dependency direction, criticality and migration sequencing immediately understandable.</x:v>
      </x:c>
      <x:c r="H7" s="97" t="str">
        <x:v>Decorative cloud blocks, ambiguous arrows and any implication that migration order is arbitrary.</x:v>
      </x:c>
      <x:c r="I7" s="97" t="str">
        <x:v>System owners; dependency types; business criticality; migration-wave criteria; blockers; risk/complexity indicators.</x:v>
      </x:c>
      <x:c r="J7" s="97" t="str">
        <x:v>Related to #29 6Rs Migration Matrix, but this is dependency/wave sequencing.</x:v>
      </x:c>
      <x:c r="K7" s="97" t="str">
        <x:v>Partial</x:v>
      </x:c>
      <x:c r="L7" s="97" t="str">
        <x:v>P1</x:v>
      </x:c>
      <x:c r="M7" s="97" t="str">
        <x:v>3.2 Technical Accuracy Cleanup</x:v>
      </x:c>
      <x:c r="N7" s="56" t="str">
        <x:v>Not Reviewed</x:v>
      </x:c>
    </x:row>
    <x:row r="8" ht="70" customHeight="1">
      <x:c r="A8" s="57" t="n">
        <x:v>2</x:v>
      </x:c>
      <x:c r="B8" s="98" t="str">
        <x:v>P1-APP-L-02_hybrid_strangler_fig_transition</x:v>
      </x:c>
      <x:c r="C8" s="98" t="str">
        <x:v>Hybrid / Strangler Fig Transition Architecture</x:v>
      </x:c>
      <x:c r="D8" s="98" t="str">
        <x:v>KEEP + POLISH</x:v>
      </x:c>
      <x:c r="E8" s="98" t="str">
        <x:v>Hybrid / Strangler Fig Transition Architecture</x:v>
      </x:c>
      <x:c r="F8" s="98" t="str">
        <x:v>A classic strangler pattern showing legacy and modern services during transition.</x:v>
      </x:c>
      <x:c r="G8" s="98" t="str">
        <x:v>Make active routing, fallback and data ownership explicit.</x:v>
      </x:c>
      <x:c r="H8" s="98" t="str">
        <x:v>Any implication that every database call must traverse the API gateway.</x:v>
      </x:c>
      <x:c r="I8" s="98" t="str">
        <x:v>Routing rules; feature flags; coexistence periods; rollback path; observability; data migration ownership.</x:v>
      </x:c>
      <x:c r="J8" s="98" t="str">
        <x:v>Complements #1 and #29.</x:v>
      </x:c>
      <x:c r="K8" s="98" t="str">
        <x:v>Partial</x:v>
      </x:c>
      <x:c r="L8" s="98" t="str">
        <x:v>P2</x:v>
      </x:c>
      <x:c r="M8" s="98" t="str">
        <x:v>3.5 Visual Rebuild / Fidelity</x:v>
      </x:c>
      <x:c r="N8" s="58" t="str">
        <x:v>Not Reviewed</x:v>
      </x:c>
    </x:row>
    <x:row r="9" ht="70" customHeight="1">
      <x:c r="A9" s="57" t="n">
        <x:v>3</x:v>
      </x:c>
      <x:c r="B9" s="98" t="str">
        <x:v>P1-GOV-C-03_value_stream_map_vsm</x:v>
      </x:c>
      <x:c r="C9" s="98" t="str">
        <x:v>Enterprise AI Architecture &amp; Delivery Value Stream Map</x:v>
      </x:c>
      <x:c r="D9" s="98" t="str">
        <x:v>CHANGE</x:v>
      </x:c>
      <x:c r="E9" s="98" t="str">
        <x:v>Enterprise AI Delivery Value Stream Map</x:v>
      </x:c>
      <x:c r="F9" s="98" t="str">
        <x:v>A value-stream-style view with business and technology steps.</x:v>
      </x:c>
      <x:c r="G9" s="98" t="str">
        <x:v>Make it a real Lean VSM first; treat Google Cloud services only as enablers.</x:v>
      </x:c>
      <x:c r="H9" s="98" t="str">
        <x:v>Architecture boxes that crowd out process-time, wait-time and handoff analysis.</x:v>
      </x:c>
      <x:c r="I9" s="98" t="str">
        <x:v>Process time; wait time; queue time; handoffs; bottlenecks; current-state/future-state improvements; owner by step.</x:v>
      </x:c>
      <x:c r="J9" s="98" t="str">
        <x:v>Pairs with #4 As-Is vs To-Be.</x:v>
      </x:c>
      <x:c r="K9" s="98" t="str">
        <x:v>Yes</x:v>
      </x:c>
      <x:c r="L9" s="98" t="str">
        <x:v>P1</x:v>
      </x:c>
      <x:c r="M9" s="98" t="str">
        <x:v>3.2 Technical Accuracy Cleanup</x:v>
      </x:c>
      <x:c r="N9" s="58" t="str">
        <x:v>Not Reviewed</x:v>
      </x:c>
    </x:row>
    <x:row r="10" ht="70" customHeight="1">
      <x:c r="A10" s="57" t="n">
        <x:v>4</x:v>
      </x:c>
      <x:c r="B10" s="98" t="str">
        <x:v>P1-GOV-C-04_as_is_vs_to_be_process_flow</x:v>
      </x:c>
      <x:c r="C10" s="98" t="str">
        <x:v>As-Is vs. To-Be Process &amp; Architecture Flow</x:v>
      </x:c>
      <x:c r="D10" s="98" t="str">
        <x:v>KEEP + POLISH</x:v>
      </x:c>
      <x:c r="E10" s="98" t="str">
        <x:v>As-Is vs. To-Be Process &amp; Architecture Flow</x:v>
      </x:c>
      <x:c r="F10" s="98" t="str">
        <x:v>Side-by-side current-state and target-state comparison.</x:v>
      </x:c>
      <x:c r="G10" s="98" t="str">
        <x:v>Use symmetric structure so users can compare like-for-like capabilities.</x:v>
      </x:c>
      <x:c r="H10" s="98" t="str">
        <x:v>Unsupported financial, latency or productivity claims shown as facts.</x:v>
      </x:c>
      <x:c r="I10" s="98" t="str">
        <x:v>Transition steps; business outcomes; capability deltas; ownership; measurable targets clearly labeled as examples.</x:v>
      </x:c>
      <x:c r="J10" s="98" t="str">
        <x:v>Pairs with #3 and #6.</x:v>
      </x:c>
      <x:c r="K10" s="98" t="str">
        <x:v>Partial</x:v>
      </x:c>
      <x:c r="L10" s="98" t="str">
        <x:v>P2</x:v>
      </x:c>
      <x:c r="M10" s="98" t="str">
        <x:v>3.5 Visual Rebuild / Fidelity</x:v>
      </x:c>
      <x:c r="N10" s="58" t="str">
        <x:v>Not Reviewed</x:v>
      </x:c>
    </x:row>
    <x:row r="11" ht="70" customHeight="1">
      <x:c r="A11" s="57" t="n">
        <x:v>5</x:v>
      </x:c>
      <x:c r="B11" s="98" t="str">
        <x:v>P2-GOV-C-01_cloud_finops_chargeback_model</x:v>
      </x:c>
      <x:c r="C11" s="98" t="str">
        <x:v>Cloud FinOps &amp; Chargeback Model</x:v>
      </x:c>
      <x:c r="D11" s="98" t="str">
        <x:v>REBUILD</x:v>
      </x:c>
      <x:c r="E11" s="98" t="str">
        <x:v>Google Cloud FinOps, Allocation &amp; Chargeback Architecture</x:v>
      </x:c>
      <x:c r="F11" s="98" t="str">
        <x:v>A FinOps/chargeback view with cost, quota and governance concepts.</x:v>
      </x:c>
      <x:c r="G11" s="98" t="str">
        <x:v>Anchor the model on real Google Cloud billing and FinOps controls.</x:v>
      </x:c>
      <x:c r="H11" s="98" t="str">
        <x:v>Invented/non-standard product labels such as 'Vertex AI Quota Governor'.</x:v>
      </x:c>
      <x:c r="I11" s="98" t="str">
        <x:v>Cloud Billing export; BigQuery cost data; budgets/alerts; labels/tags; cost allocation; showback/chargeback; FinOps roles; AI quota/Provisioned Throughput where relevant.</x:v>
      </x:c>
      <x:c r="J11" s="98" t="str">
        <x:v>Related to #33 for AI capacity, but this is financial governance.</x:v>
      </x:c>
      <x:c r="K11" s="98" t="str">
        <x:v>Yes</x:v>
      </x:c>
      <x:c r="L11" s="98" t="str">
        <x:v>P0</x:v>
      </x:c>
      <x:c r="M11" s="98" t="str">
        <x:v>3.2 Technical Accuracy Cleanup</x:v>
      </x:c>
      <x:c r="N11" s="58" t="str">
        <x:v>Not Reviewed</x:v>
      </x:c>
    </x:row>
    <x:row r="12" ht="70" customHeight="1">
      <x:c r="A12" s="57" t="n">
        <x:v>6</x:v>
      </x:c>
      <x:c r="B12" s="98" t="str">
        <x:v>P3-APP-C-01_total_unified_system_view</x:v>
      </x:c>
      <x:c r="C12" s="98" t="str">
        <x:v>Total Unified System View</x:v>
      </x:c>
      <x:c r="D12" s="98" t="str">
        <x:v>REBUILD / RENAME</x:v>
      </x:c>
      <x:c r="E12" s="98" t="str">
        <x:v>Enterprise Reference Architecture</x:v>
      </x:c>
      <x:c r="F12" s="98" t="str">
        <x:v>A very broad end-to-end system view that attempts to show everything.</x:v>
      </x:c>
      <x:c r="G12" s="98" t="str">
        <x:v>Turn it into a disciplined enterprise reference architecture with explicit layers and boundaries.</x:v>
      </x:c>
      <x:c r="H12" s="98" t="str">
        <x:v>Everything-everywhere clutter, duplicated services and low-value technical details at executive level.</x:v>
      </x:c>
      <x:c r="I12" s="98" t="str">
        <x:v>Channels; business capabilities; applications/integration; data; AI; platform/network; security/identity; operations; clear cross-cutting controls.</x:v>
      </x:c>
      <x:c r="J12" s="98" t="str">
        <x:v>Acts as a parent view for many HLD diagrams.</x:v>
      </x:c>
      <x:c r="K12" s="98" t="str">
        <x:v>Yes</x:v>
      </x:c>
      <x:c r="L12" s="98" t="str">
        <x:v>P0</x:v>
      </x:c>
      <x:c r="M12" s="98" t="str">
        <x:v>3.1 Critical Architecture Rebuilds</x:v>
      </x:c>
      <x:c r="N12" s="58" t="str">
        <x:v>Not Reviewed</x:v>
      </x:c>
    </x:row>
    <x:row r="13" ht="70" customHeight="1">
      <x:c r="A13" s="57" t="n">
        <x:v>7</x:v>
      </x:c>
      <x:c r="B13" s="98" t="str">
        <x:v>P3-AI-L-02_cognitive_architecture_agentic_rag</x:v>
      </x:c>
      <x:c r="C13" s="98" t="str">
        <x:v>Cognitive Architecture / Agentic RAG</x:v>
      </x:c>
      <x:c r="D13" s="98" t="str">
        <x:v>KEEP + UPDATE</x:v>
      </x:c>
      <x:c r="E13" s="98" t="str">
        <x:v>Agentic RAG &amp; Grounded AI Architecture</x:v>
      </x:c>
      <x:c r="F13" s="98" t="str">
        <x:v>Agentic RAG components, retrieval and model reasoning.</x:v>
      </x:c>
      <x:c r="G13" s="98" t="str">
        <x:v>Use current managed-agent terminology and make grounding/retrieval responsibilities explicit.</x:v>
      </x:c>
      <x:c r="H13" s="98" t="str">
        <x:v>Hard-coded model versions and circular ReAct patterns unless they are actually required.</x:v>
      </x:c>
      <x:c r="I13" s="98" t="str">
        <x:v>Vertex AI Agent Engine option; retrieval quality; grounding/citations; Model Armor; evaluation; session/memory; fallback/error path.</x:v>
      </x:c>
      <x:c r="J13" s="98" t="str">
        <x:v>Related to #8, #19, #21 and #50.</x:v>
      </x:c>
      <x:c r="K13" s="98" t="str">
        <x:v>Partial</x:v>
      </x:c>
      <x:c r="L13" s="98" t="str">
        <x:v>P1</x:v>
      </x:c>
      <x:c r="M13" s="98" t="str">
        <x:v>3.2 Technical Accuracy Cleanup</x:v>
      </x:c>
      <x:c r="N13" s="58" t="str">
        <x:v>Not Reviewed</x:v>
      </x:c>
    </x:row>
    <x:row r="14" ht="70" customHeight="1">
      <x:c r="A14" s="57" t="n">
        <x:v>8</x:v>
      </x:c>
      <x:c r="B14" s="98" t="str">
        <x:v>P3-AI-L-03_hub_and_spoke_agent_mesh</x:v>
      </x:c>
      <x:c r="C14" s="98" t="str">
        <x:v>Hub-and-Spoke Agent Configuration Map</x:v>
      </x:c>
      <x:c r="D14" s="98" t="str">
        <x:v>KEEP + CHANGE</x:v>
      </x:c>
      <x:c r="E14" s="98" t="str">
        <x:v>Hub-and-Spoke Multi-Agent Orchestration</x:v>
      </x:c>
      <x:c r="F14" s="98" t="str">
        <x:v>A central supervisor with specialized agent spokes.</x:v>
      </x:c>
      <x:c r="G14" s="98" t="str">
        <x:v>Clarify supervisor/delegation versus event-bus messaging and direct agent-to-agent interaction.</x:v>
      </x:c>
      <x:c r="H14" s="98" t="str">
        <x:v>gRPC or direct peer links shown as universal defaults.</x:v>
      </x:c>
      <x:c r="I14" s="98" t="str">
        <x:v>A2A/MCP boundaries; delegation contracts; tool access; shared state/memory; retries; observability; policy.</x:v>
      </x:c>
      <x:c r="J14" s="98" t="str">
        <x:v>Related to #15 sequence, #19 runtime, #50 MCP gateway.</x:v>
      </x:c>
      <x:c r="K14" s="98" t="str">
        <x:v>Partial</x:v>
      </x:c>
      <x:c r="L14" s="98" t="str">
        <x:v>P1</x:v>
      </x:c>
      <x:c r="M14" s="98" t="str">
        <x:v>3.2 Technical Accuracy Cleanup</x:v>
      </x:c>
      <x:c r="N14" s="58" t="str">
        <x:v>Not Reviewed</x:v>
      </x:c>
    </x:row>
    <x:row r="15" ht="70" customHeight="1">
      <x:c r="A15" s="57" t="n">
        <x:v>9</x:v>
      </x:c>
      <x:c r="B15" s="98" t="str">
        <x:v>P3-DAT-L-04_gcp_enterprise_data_lakehouse</x:v>
      </x:c>
      <x:c r="C15" s="98" t="str">
        <x:v>GCP Enterprise Data Lakehouse &amp; Gemini Agentic Mesh</x:v>
      </x:c>
      <x:c r="D15" s="98" t="str">
        <x:v>KEEP + UPDATE</x:v>
      </x:c>
      <x:c r="E15" s="98" t="str">
        <x:v>Google Cloud Enterprise Data Lakehouse &amp; AI Consumption</x:v>
      </x:c>
      <x:c r="F15" s="98" t="str">
        <x:v>A broad enterprise lakehouse with analytics and AI consumption.</x:v>
      </x:c>
      <x:c r="G15" s="98" t="str">
        <x:v>Update catalog terminology and separate the core data platform from optional AI/agent consumption.</x:v>
      </x:c>
      <x:c r="H15" s="98" t="str">
        <x:v>Overloaded agent mesh that obscures ingestion, storage, curation and serving.</x:v>
      </x:c>
      <x:c r="I15" s="98" t="str">
        <x:v>Ingestion; raw/curated layers; BigQuery; Knowledge Catalog; data quality; lineage; analytics/BI; governed AI access.</x:v>
      </x:c>
      <x:c r="J15" s="98" t="str">
        <x:v>Related to #11, #27, #28, #36, #49.</x:v>
      </x:c>
      <x:c r="K15" s="98" t="str">
        <x:v>Partial</x:v>
      </x:c>
      <x:c r="L15" s="98" t="str">
        <x:v>P1</x:v>
      </x:c>
      <x:c r="M15" s="98" t="str">
        <x:v>3.2 Technical Accuracy Cleanup</x:v>
      </x:c>
      <x:c r="N15" s="58" t="str">
        <x:v>Not Reviewed</x:v>
      </x:c>
    </x:row>
    <x:row r="16" ht="70" customHeight="1">
      <x:c r="A16" s="57" t="n">
        <x:v>10</x:v>
      </x:c>
      <x:c r="B16" s="98" t="str">
        <x:v>P3-DAT-L-05_dimensional_data_model_erd</x:v>
      </x:c>
      <x:c r="C16" s="98" t="str">
        <x:v>Dimensional Data Model - Crow's Foot ERD</x:v>
      </x:c>
      <x:c r="D16" s="98" t="str">
        <x:v>KEEP</x:v>
      </x:c>
      <x:c r="E16" s="98" t="str">
        <x:v>Dimensional Data Model - Crow's Foot ERD</x:v>
      </x:c>
      <x:c r="F16" s="98" t="str">
        <x:v>A dimensional/star-schema ERD.</x:v>
      </x:c>
      <x:c r="G16" s="98" t="str">
        <x:v>Preserve notation rigor; only make readability improvements.</x:v>
      </x:c>
      <x:c r="H16" s="98" t="str">
        <x:v>Vector/AI elements if they distort the dimensional model.</x:v>
      </x:c>
      <x:c r="I16" s="98" t="str">
        <x:v>PK/FK clarity; fact-table grain; relationship cardinality; slowly changing dimension notes where appropriate.</x:v>
      </x:c>
      <x:c r="J16" s="98" t="str">
        <x:v>Related to #49 lineage but serves a different purpose.</x:v>
      </x:c>
      <x:c r="K16" s="98" t="str">
        <x:v>No</x:v>
      </x:c>
      <x:c r="L16" s="98" t="str">
        <x:v>P2</x:v>
      </x:c>
      <x:c r="M16" s="98" t="str">
        <x:v>3.6 Catalog QA &amp; Certification</x:v>
      </x:c>
      <x:c r="N16" s="58" t="str">
        <x:v>Not Reviewed</x:v>
      </x:c>
    </x:row>
    <x:row r="17" ht="70" customHeight="1">
      <x:c r="A17" s="57" t="n">
        <x:v>11</x:v>
      </x:c>
      <x:c r="B17" s="98" t="str">
        <x:v>P3-DAT-C-06_unified_data_governance</x:v>
      </x:c>
      <x:c r="C17" s="98" t="str">
        <x:v>Unified Data Governance &amp; Access Control</x:v>
      </x:c>
      <x:c r="D17" s="98" t="str">
        <x:v>CHANGE</x:v>
      </x:c>
      <x:c r="E17" s="98" t="str">
        <x:v>Unified Data Governance, Catalog &amp; Access Control</x:v>
      </x:c>
      <x:c r="F17" s="98" t="str">
        <x:v>Catalog, governance and access-control concepts around enterprise data.</x:v>
      </x:c>
      <x:c r="G17" s="98" t="str">
        <x:v>Use current Google Cloud names and make governance decision flow explicit.</x:v>
      </x:c>
      <x:c r="H17" s="98" t="str">
        <x:v>Dataplex Universal Catalog / Cloud DLP labels and generic governance badges.</x:v>
      </x:c>
      <x:c r="I17" s="98" t="str">
        <x:v>Knowledge Catalog; Sensitive Data Protection; ownership; policy taxonomy; data quality; lineage; access decision points; audit.</x:v>
      </x:c>
      <x:c r="J17" s="98" t="str">
        <x:v>Related to #9 and #49.</x:v>
      </x:c>
      <x:c r="K17" s="98" t="str">
        <x:v>Partial</x:v>
      </x:c>
      <x:c r="L17" s="98" t="str">
        <x:v>P1</x:v>
      </x:c>
      <x:c r="M17" s="98" t="str">
        <x:v>3.2 Technical Accuracy Cleanup</x:v>
      </x:c>
      <x:c r="N17" s="58" t="str">
        <x:v>Not Reviewed</x:v>
      </x:c>
    </x:row>
    <x:row r="18" ht="70" customHeight="1">
      <x:c r="A18" s="57" t="n">
        <x:v>12</x:v>
      </x:c>
      <x:c r="B18" s="98" t="str">
        <x:v>P3-SEC-L-07_federated_iam_sso</x:v>
      </x:c>
      <x:c r="C18" s="98" t="str">
        <x:v>Google Cloud Federated IAM &amp; SSO Architecture</x:v>
      </x:c>
      <x:c r="D18" s="98" t="str">
        <x:v>KEEP + UPDATE</x:v>
      </x:c>
      <x:c r="E18" s="98" t="str">
        <x:v>Federated Workforce Identity, SSO &amp; IAM Architecture</x:v>
      </x:c>
      <x:c r="F18" s="98" t="str">
        <x:v>Enterprise IdP-to-Google Cloud federation and SSO.</x:v>
      </x:c>
      <x:c r="G18" s="98" t="str">
        <x:v>Precisely distinguish federation, user lifecycle synchronization and authorization.</x:v>
      </x:c>
      <x:c r="H18" s="98" t="str">
        <x:v>Any implication that directory sync itself provides federation or authorization.</x:v>
      </x:c>
      <x:c r="I18" s="98" t="str">
        <x:v>Workforce Identity Federation/SSO; IdP; SCIM/sync if used; groups; IAM bindings; session controls; audit.</x:v>
      </x:c>
      <x:c r="J18" s="98" t="str">
        <x:v>Complemented by proposed #55 for workload identity.</x:v>
      </x:c>
      <x:c r="K18" s="98" t="str">
        <x:v>Partial</x:v>
      </x:c>
      <x:c r="L18" s="98" t="str">
        <x:v>P1</x:v>
      </x:c>
      <x:c r="M18" s="98" t="str">
        <x:v>3.2 Technical Accuracy Cleanup</x:v>
      </x:c>
      <x:c r="N18" s="58" t="str">
        <x:v>Not Reviewed</x:v>
      </x:c>
    </x:row>
    <x:row r="19" ht="70" customHeight="1">
      <x:c r="A19" s="57" t="n">
        <x:v>13</x:v>
      </x:c>
      <x:c r="B19" s="98" t="str">
        <x:v>P3-APP-L-08_micro_frontend_architecture</x:v>
      </x:c>
      <x:c r="C19" s="98" t="str">
        <x:v>Micro-Frontend Architecture</x:v>
      </x:c>
      <x:c r="D19" s="98" t="str">
        <x:v>KEEP</x:v>
      </x:c>
      <x:c r="E19" s="98" t="str">
        <x:v>Enterprise Micro-Frontend Architecture</x:v>
      </x:c>
      <x:c r="F19" s="98" t="str">
        <x:v>Shell plus independently developed/deployed frontend components.</x:v>
      </x:c>
      <x:c r="G19" s="98" t="str">
        <x:v>Clearly distinguish runtime composition from build-time integration.</x:v>
      </x:c>
      <x:c r="H19" s="98" t="str">
        <x:v>Generic backend/service clutter not needed to explain the micro-frontend pattern.</x:v>
      </x:c>
      <x:c r="I19" s="98" t="str">
        <x:v>Shell/container; remote modules; CDN; routing; shared design system; authentication; observability; deployment independence.</x:v>
      </x:c>
      <x:c r="J19" s="98" t="str">
        <x:v>Related to #45/#46 for C4 decomposition.</x:v>
      </x:c>
      <x:c r="K19" s="98" t="str">
        <x:v>Partial</x:v>
      </x:c>
      <x:c r="L19" s="98" t="str">
        <x:v>P2</x:v>
      </x:c>
      <x:c r="M19" s="98" t="str">
        <x:v>3.5 Visual Rebuild / Fidelity</x:v>
      </x:c>
      <x:c r="N19" s="58" t="str">
        <x:v>Not Reviewed</x:v>
      </x:c>
    </x:row>
    <x:row r="20" ht="70" customHeight="1">
      <x:c r="A20" s="57" t="n">
        <x:v>14</x:v>
      </x:c>
      <x:c r="B20" s="98" t="str">
        <x:v>P3-GOV-L-09_logical_ai_config_tenant</x:v>
      </x:c>
      <x:c r="C20" s="98" t="str">
        <x:v>Logical AI Configuration / Multi-Tenant</x:v>
      </x:c>
      <x:c r="D20" s="98" t="str">
        <x:v>CHANGE</x:v>
      </x:c>
      <x:c r="E20" s="98" t="str">
        <x:v>Multi-Tenant AI Platform Isolation &amp; Configuration</x:v>
      </x:c>
      <x:c r="F20" s="98" t="str">
        <x:v>Logical tenant configuration for AI workloads.</x:v>
      </x:c>
      <x:c r="G20" s="98" t="str">
        <x:v>Make the isolation model and tenant-specific controls the center of the design.</x:v>
      </x:c>
      <x:c r="H20" s="98" t="str">
        <x:v>Vague tenant boxes and governance-only framing.</x:v>
      </x:c>
      <x:c r="I20" s="98" t="str">
        <x:v>Tenant-aware identity; quotas; model/prompt configuration; data partitioning; encryption; noisy-neighbor controls; audit.</x:v>
      </x:c>
      <x:c r="J20" s="98" t="str">
        <x:v>Potential overlap with proposed #59; #14 should remain AI-platform specific.</x:v>
      </x:c>
      <x:c r="K20" s="98" t="str">
        <x:v>Yes</x:v>
      </x:c>
      <x:c r="L20" s="98" t="str">
        <x:v>P1</x:v>
      </x:c>
      <x:c r="M20" s="98" t="str">
        <x:v>3.2 Technical Accuracy Cleanup</x:v>
      </x:c>
      <x:c r="N20" s="58" t="str">
        <x:v>Not Reviewed</x:v>
      </x:c>
    </x:row>
    <x:row r="21" ht="70" customHeight="1">
      <x:c r="A21" s="57" t="n">
        <x:v>15</x:v>
      </x:c>
      <x:c r="B21" s="98" t="str">
        <x:v>P3-APP-L-10_multi_agent_sequence_flow</x:v>
      </x:c>
      <x:c r="C21" s="98" t="str">
        <x:v>Multi-Agent Execution Lifeline Sequence Diagram</x:v>
      </x:c>
      <x:c r="D21" s="98" t="str">
        <x:v>KEEP</x:v>
      </x:c>
      <x:c r="E21" s="98" t="str">
        <x:v>Multi-Agent Execution Sequence Diagram</x:v>
      </x:c>
      <x:c r="F21" s="98" t="str">
        <x:v>Agent lifelines and execution sequence.</x:v>
      </x:c>
      <x:c r="G21" s="98" t="str">
        <x:v>Tighten UML sequence semantics and preserve time ordering.</x:v>
      </x:c>
      <x:c r="H21" s="98" t="str">
        <x:v>Decorative architecture boxes that do not belong on lifelines.</x:v>
      </x:c>
      <x:c r="I21" s="98" t="str">
        <x:v>Sync/async distinction; alt/error branches; timeouts/retries; tool calls; Model Armor pre/post checks where applicable.</x:v>
      </x:c>
      <x:c r="J21" s="98" t="str">
        <x:v>Detailed behavioral view for #7/#8/#19/#50.</x:v>
      </x:c>
      <x:c r="K21" s="98" t="str">
        <x:v>No</x:v>
      </x:c>
      <x:c r="L21" s="98" t="str">
        <x:v>P2</x:v>
      </x:c>
      <x:c r="M21" s="98" t="str">
        <x:v>3.6 Catalog QA &amp; Certification</x:v>
      </x:c>
      <x:c r="N21" s="58" t="str">
        <x:v>Not Reviewed</x:v>
      </x:c>
    </x:row>
    <x:row r="22" ht="70" customHeight="1">
      <x:c r="A22" s="57" t="n">
        <x:v>16</x:v>
      </x:c>
      <x:c r="B22" s="98" t="str">
        <x:v>P4-SEC-P-01_secure_deployment_topology_map</x:v>
      </x:c>
      <x:c r="C22" s="98" t="str">
        <x:v>Secure Deployment Topology Map</x:v>
      </x:c>
      <x:c r="D22" s="98" t="str">
        <x:v>KEEP + CHANGE</x:v>
      </x:c>
      <x:c r="E22" s="98" t="str">
        <x:v>Secure Google Cloud Deployment &amp; Trust Boundary Topology</x:v>
      </x:c>
      <x:c r="F22" s="98" t="str">
        <x:v>A secure deployment topology with multiple security services.</x:v>
      </x:c>
      <x:c r="G22" s="98" t="str">
        <x:v>Make trust boundaries and allowed flows more important than service-icon density.</x:v>
      </x:c>
      <x:c r="H22" s="98" t="str">
        <x:v>Security icons used as decorations and unclear public/private boundaries.</x:v>
      </x:c>
      <x:c r="I22" s="98" t="str">
        <x:v>Ingress/egress; VPC; PSC/PSA as applicable; IAM; secrets; Binary Authorization where relevant; SCC; logging; trust-zone labels.</x:v>
      </x:c>
      <x:c r="J22" s="98" t="str">
        <x:v>Related to #17, #18, #20, #48 and proposed #56.</x:v>
      </x:c>
      <x:c r="K22" s="98" t="str">
        <x:v>Yes</x:v>
      </x:c>
      <x:c r="L22" s="98" t="str">
        <x:v>P1</x:v>
      </x:c>
      <x:c r="M22" s="98" t="str">
        <x:v>3.2 Technical Accuracy Cleanup</x:v>
      </x:c>
      <x:c r="N22" s="58" t="str">
        <x:v>Not Reviewed</x:v>
      </x:c>
    </x:row>
    <x:row r="23" ht="70" customHeight="1">
      <x:c r="A23" s="57" t="n">
        <x:v>17</x:v>
      </x:c>
      <x:c r="B23" s="98" t="str">
        <x:v>P4-SEC-P-02_gcp_landing_zone_vpc_map</x:v>
      </x:c>
      <x:c r="C23" s="98" t="str">
        <x:v>Google Cloud Infrastructure: Landing Zone &amp; Shared VPC Topology</x:v>
      </x:c>
      <x:c r="D23" s="98" t="str">
        <x:v>KEEP</x:v>
      </x:c>
      <x:c r="E23" s="98" t="str">
        <x:v>Google Cloud Landing Zone &amp; Shared VPC Topology</x:v>
      </x:c>
      <x:c r="F23" s="98" t="str">
        <x:v>Landing-zone and Shared VPC concepts.</x:v>
      </x:c>
      <x:c r="G23" s="98" t="str">
        <x:v>Ensure hierarchy reads top-down from organization to workload networks.</x:v>
      </x:c>
      <x:c r="H23" s="98" t="str">
        <x:v>Flat project layouts that hide host/service project relationships.</x:v>
      </x:c>
      <x:c r="I23" s="98" t="str">
        <x:v>Organization; folders; projects; Shared VPC host/service projects; org policy; centralized logging; DNS; NCC optional; security controls.</x:v>
      </x:c>
      <x:c r="J23" s="98" t="str">
        <x:v>Foundation for #16 and #20.</x:v>
      </x:c>
      <x:c r="K23" s="98" t="str">
        <x:v>Partial</x:v>
      </x:c>
      <x:c r="L23" s="98" t="str">
        <x:v>P2</x:v>
      </x:c>
      <x:c r="M23" s="98" t="str">
        <x:v>3.5 Visual Rebuild / Fidelity</x:v>
      </x:c>
      <x:c r="N23" s="58" t="str">
        <x:v>Not Reviewed</x:v>
      </x:c>
    </x:row>
    <x:row r="24" ht="70" customHeight="1">
      <x:c r="A24" s="57" t="n">
        <x:v>18</x:v>
      </x:c>
      <x:c r="B24" s="98" t="str">
        <x:v>P4-SEC-P-03_data_residency_sovereign_map</x:v>
      </x:c>
      <x:c r="C24" s="98" t="str">
        <x:v>Data Residency &amp; Sovereign Cloud Map</x:v>
      </x:c>
      <x:c r="D24" s="98" t="str">
        <x:v>KEEP + CHANGE</x:v>
      </x:c>
      <x:c r="E24" s="98" t="str">
        <x:v>Data Residency, Sovereignty &amp; Administrative Access Architecture</x:v>
      </x:c>
      <x:c r="F24" s="98" t="str">
        <x:v>Regional/sovereign boundaries and cross-region/cloud controls.</x:v>
      </x:c>
      <x:c r="G24" s="98" t="str">
        <x:v>Separate residency, access sovereignty, key sovereignty and processing location.</x:v>
      </x:c>
      <x:c r="H24" s="98" t="str">
        <x:v>Any implication that network peering alone solves sovereignty.</x:v>
      </x:c>
      <x:c r="I24" s="98" t="str">
        <x:v>Data location; administrative access; encryption/key control; processing-region constraints; Assured Workloads where relevant; audit.</x:v>
      </x:c>
      <x:c r="J24" s="98" t="str">
        <x:v>Related to #16/#20 and industry regulated templates.</x:v>
      </x:c>
      <x:c r="K24" s="98" t="str">
        <x:v>Partial</x:v>
      </x:c>
      <x:c r="L24" s="98" t="str">
        <x:v>P1</x:v>
      </x:c>
      <x:c r="M24" s="98" t="str">
        <x:v>3.2 Technical Accuracy Cleanup</x:v>
      </x:c>
      <x:c r="N24" s="58" t="str">
        <x:v>Not Reviewed</x:v>
      </x:c>
    </x:row>
    <x:row r="25" ht="70" customHeight="1">
      <x:c r="A25" s="57" t="n">
        <x:v>19</x:v>
      </x:c>
      <x:c r="B25" s="98" t="str">
        <x:v>P4-AI-P-04_enterprise_agent_runtime_platform</x:v>
      </x:c>
      <x:c r="C25" s="98" t="str">
        <x:v>Enterprise Agent Runtime Platform</x:v>
      </x:c>
      <x:c r="D25" s="98" t="str">
        <x:v>KEEP + UPDATE</x:v>
      </x:c>
      <x:c r="E25" s="98" t="str">
        <x:v>Enterprise Agent Runtime Platform on Google Cloud</x:v>
      </x:c>
      <x:c r="F25" s="98" t="str">
        <x:v>A production agent runtime platform, historically centered on custom runtime choices.</x:v>
      </x:c>
      <x:c r="G25" s="98" t="str">
        <x:v>Show Vertex AI Agent Engine as a managed production option alongside custom runtimes.</x:v>
      </x:c>
      <x:c r="H25" s="98" t="str">
        <x:v>An architecture that implies GKE is the only production agent runtime.</x:v>
      </x:c>
      <x:c r="I25" s="98" t="str">
        <x:v>Agent Engine; Cloud Run/GKE custom options; tool/MCP access; memory/session state; secrets; policy; tracing/evaluation; CI/CD.</x:v>
      </x:c>
      <x:c r="J25" s="98" t="str">
        <x:v>Related to #7/#8/#21/#50.</x:v>
      </x:c>
      <x:c r="K25" s="98" t="str">
        <x:v>Partial</x:v>
      </x:c>
      <x:c r="L25" s="98" t="str">
        <x:v>P1</x:v>
      </x:c>
      <x:c r="M25" s="98" t="str">
        <x:v>3.2 Technical Accuracy Cleanup</x:v>
      </x:c>
      <x:c r="N25" s="58" t="str">
        <x:v>Not Reviewed</x:v>
      </x:c>
    </x:row>
    <x:row r="26" ht="70" customHeight="1">
      <x:c r="A26" s="57" t="n">
        <x:v>20</x:v>
      </x:c>
      <x:c r="B26" s="98" t="str">
        <x:v>P4-SEC-P-05_tech_agentic_mesh</x:v>
      </x:c>
      <x:c r="C26" s="98" t="str">
        <x:v>Hybrid Multi-Cloud Networking &amp; Gemini Enterprise</x:v>
      </x:c>
      <x:c r="D26" s="98" t="str">
        <x:v>P0 REBUILD</x:v>
      </x:c>
      <x:c r="E26" s="98" t="str">
        <x:v>Hybrid Multi-Cloud Networking &amp; Gemini Enterprise</x:v>
      </x:c>
      <x:c r="F26" s="98" t="str">
        <x:v>A hybrid/multi-cloud networking concept with Gemini Enterprise, but formatting and technical structure are weak.</x:v>
      </x:c>
      <x:c r="G26" s="98" t="str">
        <x:v>Rebuild from first principles as a network architecture, not an agent-mesh diagram.</x:v>
      </x:c>
      <x:c r="H26" s="98" t="str">
        <x:v>Misleading 'tech_agentic_mesh' presentation; vague cloud arrows; Gemini shown as a networking control plane; overlapping labels/flows.</x:v>
      </x:c>
      <x:c r="I26" s="98" t="str">
        <x:v>On-prem + AWS/Azure + Google Cloud; Network Connectivity Center; Cloud Interconnect; HA VPN; Cloud Router/BGP; Shared VPC; PSC; DNS; firewall policy; zero-trust identity; logging/monitoring; Gemini-assisted operations as an overlay, not control plane.</x:v>
      </x:c>
      <x:c r="J26" s="98" t="str">
        <x:v>Related to #17 landing zone, #16 secure deployment, proposed #56 private connectivity.</x:v>
      </x:c>
      <x:c r="K26" s="98" t="str">
        <x:v>Yes</x:v>
      </x:c>
      <x:c r="L26" s="98" t="str">
        <x:v>P0</x:v>
      </x:c>
      <x:c r="M26" s="98" t="str">
        <x:v>3.1 Critical Architecture Rebuilds</x:v>
      </x:c>
      <x:c r="N26" s="58" t="str">
        <x:v>PNG Approved / XML Pending</x:v>
      </x:c>
    </x:row>
    <x:row r="27" ht="70" customHeight="1">
      <x:c r="A27" s="57" t="n">
        <x:v>21</x:v>
      </x:c>
      <x:c r="B27" s="98" t="str">
        <x:v>P4-AI-P-06_tech_eval_safety</x:v>
      </x:c>
      <x:c r="C27" s="98" t="str">
        <x:v>Agentic AI Evaluation, Safety &amp; Optimization Platform</x:v>
      </x:c>
      <x:c r="D27" s="98" t="str">
        <x:v>KEEP + UPDATE</x:v>
      </x:c>
      <x:c r="E27" s="98" t="str">
        <x:v>Agentic AI Evaluation, Safety &amp; Optimization Platform</x:v>
      </x:c>
      <x:c r="F27" s="98" t="str">
        <x:v>Evaluation and safety controls around AI/agent systems.</x:v>
      </x:c>
      <x:c r="G27" s="98" t="str">
        <x:v>Separate offline/online evaluation from runtime prompt/response protection.</x:v>
      </x:c>
      <x:c r="H27" s="98" t="str">
        <x:v>Conflation of Model Armor with model-quality evaluation.</x:v>
      </x:c>
      <x:c r="I27" s="98" t="str">
        <x:v>Offline eval sets; online quality metrics; red teaming; safety metrics; Model Armor runtime screening; human review; release gates.</x:v>
      </x:c>
      <x:c r="J27" s="98" t="str">
        <x:v>Related to #22 and #23.</x:v>
      </x:c>
      <x:c r="K27" s="98" t="str">
        <x:v>Partial</x:v>
      </x:c>
      <x:c r="L27" s="98" t="str">
        <x:v>P1</x:v>
      </x:c>
      <x:c r="M27" s="98" t="str">
        <x:v>3.2 Technical Accuracy Cleanup</x:v>
      </x:c>
      <x:c r="N27" s="58" t="str">
        <x:v>Not Reviewed</x:v>
      </x:c>
    </x:row>
    <x:row r="28" ht="70" customHeight="1">
      <x:c r="A28" s="57" t="n">
        <x:v>22</x:v>
      </x:c>
      <x:c r="B28" s="98" t="str">
        <x:v>P4-GOV-L-07_ai_trism_guardrails</x:v>
      </x:c>
      <x:c r="C28" s="98" t="str">
        <x:v>AI TRiSM Security Guardrail Pipeline</x:v>
      </x:c>
      <x:c r="D28" s="98" t="str">
        <x:v>CHANGE</x:v>
      </x:c>
      <x:c r="E28" s="98" t="str">
        <x:v>AI Security, Risk &amp; Guardrail Architecture</x:v>
      </x:c>
      <x:c r="F28" s="98" t="str">
        <x:v>Trust, risk and security guardrails around AI.</x:v>
      </x:c>
      <x:c r="G28" s="98" t="str">
        <x:v>Translate TRiSM language into concrete, implementable AI security and governance controls.</x:v>
      </x:c>
      <x:c r="H28" s="98" t="str">
        <x:v>Duplicate control boxes and marketing-level labels without enforcement points.</x:v>
      </x:c>
      <x:c r="I28" s="98" t="str">
        <x:v>Risk tiering; IAM; Model Armor; Sensitive Data Protection; policy engine; approval; audit; monitoring; exception handling.</x:v>
      </x:c>
      <x:c r="J28" s="98" t="str">
        <x:v>Related to #21 evaluation and #23 HITL.</x:v>
      </x:c>
      <x:c r="K28" s="98" t="str">
        <x:v>Yes</x:v>
      </x:c>
      <x:c r="L28" s="98" t="str">
        <x:v>P1</x:v>
      </x:c>
      <x:c r="M28" s="98" t="str">
        <x:v>3.2 Technical Accuracy Cleanup</x:v>
      </x:c>
      <x:c r="N28" s="58" t="str">
        <x:v>Not Reviewed</x:v>
      </x:c>
    </x:row>
    <x:row r="29" ht="70" customHeight="1">
      <x:c r="A29" s="57" t="n">
        <x:v>23</x:v>
      </x:c>
      <x:c r="B29" s="98" t="str">
        <x:v>P4-GOV-L-08_ai_agent_approval_workflow</x:v>
      </x:c>
      <x:c r="C29" s="98" t="str">
        <x:v>AI Agent Approval Workflow &amp; Human-in-the-Loop Governance</x:v>
      </x:c>
      <x:c r="D29" s="98" t="str">
        <x:v>KEEP</x:v>
      </x:c>
      <x:c r="E29" s="98" t="str">
        <x:v>AI Agent Approval Workflow &amp; Human-in-the-Loop Governance</x:v>
      </x:c>
      <x:c r="F29" s="98" t="str">
        <x:v>Human approval and governance workflow for AI actions.</x:v>
      </x:c>
      <x:c r="G29" s="98" t="str">
        <x:v>Make approval authority, escalation and automation boundaries explicit.</x:v>
      </x:c>
      <x:c r="H29" s="98" t="str">
        <x:v>Binary Authorization or deployment-security controls presented as human-governance mechanisms.</x:v>
      </x:c>
      <x:c r="I29" s="98" t="str">
        <x:v>Risk-based approval criteria; SLA; escalation path; audit evidence; timeout/fallback; automated low-risk path.</x:v>
      </x:c>
      <x:c r="J29" s="98" t="str">
        <x:v>Related to #21/#22.</x:v>
      </x:c>
      <x:c r="K29" s="98" t="str">
        <x:v>Partial</x:v>
      </x:c>
      <x:c r="L29" s="98" t="str">
        <x:v>P2</x:v>
      </x:c>
      <x:c r="M29" s="98" t="str">
        <x:v>3.5 Visual Rebuild / Fidelity</x:v>
      </x:c>
      <x:c r="N29" s="58" t="str">
        <x:v>Not Reviewed</x:v>
      </x:c>
    </x:row>
    <x:row r="30" ht="70" customHeight="1">
      <x:c r="A30" s="57" t="n">
        <x:v>24</x:v>
      </x:c>
      <x:c r="B30" s="98" t="str">
        <x:v>P4-GOV-P-09_devsecops_ci_cd_pipeline</x:v>
      </x:c>
      <x:c r="C30" s="98" t="str">
        <x:v>Enterprise DevSecOps Polyrepo CI/CD Pipeline Flow</x:v>
      </x:c>
      <x:c r="D30" s="98" t="str">
        <x:v>REBUILD</x:v>
      </x:c>
      <x:c r="E30" s="98" t="str">
        <x:v>Enterprise DevSecOps Software Supply Chain &amp; CI/CD</x:v>
      </x:c>
      <x:c r="F30" s="98" t="str">
        <x:v>Polyrepo CI/CD flow with build, test and deployment stages.</x:v>
      </x:c>
      <x:c r="G30" s="98" t="str">
        <x:v>Modernize source/repository choices and make software-supply-chain controls first-class.</x:v>
      </x:c>
      <x:c r="H30" s="98" t="str">
        <x:v>Cloud Source Repositories as the default; generic security scan boxes without gating semantics.</x:v>
      </x:c>
      <x:c r="I30" s="98" t="str">
        <x:v>GitHub/GitLab/Secure Source Manager; Cloud Build or external CI; Artifact Registry; provenance/SLSA; Binary Authorization; policy gates; progressive rollout; rollback.</x:v>
      </x:c>
      <x:c r="J30" s="98" t="str">
        <x:v>Related to #31 release/cutover.</x:v>
      </x:c>
      <x:c r="K30" s="98" t="str">
        <x:v>Yes</x:v>
      </x:c>
      <x:c r="L30" s="98" t="str">
        <x:v>P0</x:v>
      </x:c>
      <x:c r="M30" s="98" t="str">
        <x:v>3.2 Technical Accuracy Cleanup</x:v>
      </x:c>
      <x:c r="N30" s="58" t="str">
        <x:v>Not Reviewed</x:v>
      </x:c>
    </x:row>
    <x:row r="31" ht="70" customHeight="1">
      <x:c r="A31" s="57" t="n">
        <x:v>25</x:v>
      </x:c>
      <x:c r="B31" s="98" t="str">
        <x:v>P4-APP-L-10_enterprise_event_driven_eda_mesh</x:v>
      </x:c>
      <x:c r="C31" s="98" t="str">
        <x:v>Event-Driven Architecture (EDA) &amp; Kafka Event Mesh</x:v>
      </x:c>
      <x:c r="D31" s="98" t="str">
        <x:v>KEEP + CHANGE</x:v>
      </x:c>
      <x:c r="E31" s="98" t="str">
        <x:v>Enterprise Event Mesh: Pub/Sub, Kafka &amp; Cross-Platform Integration</x:v>
      </x:c>
      <x:c r="F31" s="98" t="str">
        <x:v>An event-driven mesh combining Kafka and cloud messaging.</x:v>
      </x:c>
      <x:c r="G31" s="98" t="str">
        <x:v>Show Pub/Sub and Kafka as distinct technologies with explicit integration/bridge patterns.</x:v>
      </x:c>
      <x:c r="H31" s="98" t="str">
        <x:v>Any implication that Kafka and Pub/Sub are interchangeable implementations of the same broker.</x:v>
      </x:c>
      <x:c r="I31" s="98" t="str">
        <x:v>Bridge/replication; schema governance; ordering; consumer groups/subscriptions; DLQ; replay; idempotency; observability.</x:v>
      </x:c>
      <x:c r="J31" s="98" t="str">
        <x:v>Related to #26 serverless EDA; #25 is enterprise/mixed-broker, #26 is GCP-native serverless.</x:v>
      </x:c>
      <x:c r="K31" s="98" t="str">
        <x:v>Partial</x:v>
      </x:c>
      <x:c r="L31" s="98" t="str">
        <x:v>P1</x:v>
      </x:c>
      <x:c r="M31" s="98" t="str">
        <x:v>3.3 Duplication &amp; Portfolio Rationalization</x:v>
      </x:c>
      <x:c r="N31" s="58" t="str">
        <x:v>Not Reviewed</x:v>
      </x:c>
    </x:row>
    <x:row r="32" ht="70" customHeight="1">
      <x:c r="A32" s="57" t="n">
        <x:v>26</x:v>
      </x:c>
      <x:c r="B32" s="98" t="str">
        <x:v>P4-APP-L-11_serverless_eda_architecture</x:v>
      </x:c>
      <x:c r="C32" s="98" t="str">
        <x:v>Serverless EDA Architecture</x:v>
      </x:c>
      <x:c r="D32" s="98" t="str">
        <x:v>KEEP — REFERENCE</x:v>
      </x:c>
      <x:c r="E32" s="98" t="str">
        <x:v>Google Cloud Serverless Event-Driven Architecture</x:v>
      </x:c>
      <x:c r="F32" s="98" t="str">
        <x:v>A redesigned GCP-native serverless EDA reference with clear stages and flows.</x:v>
      </x:c>
      <x:c r="G32" s="98" t="str">
        <x:v>Use as a visual/technical baseline; only address regression issues found in live rendering.</x:v>
      </x:c>
      <x:c r="H32" s="98" t="str">
        <x:v>Any remaining duplicate in-canvas title/header after the global chrome change.</x:v>
      </x:c>
      <x:c r="I32" s="98" t="str">
        <x:v>Only incremental QA fixes; do not broaden scope and recreate overlap with #25.</x:v>
      </x:c>
      <x:c r="J32" s="98" t="str">
        <x:v>Reference-quality baseline for Batch 3 visual work.</x:v>
      </x:c>
      <x:c r="K32" s="98" t="str">
        <x:v>No</x:v>
      </x:c>
      <x:c r="L32" s="98" t="str">
        <x:v>P2</x:v>
      </x:c>
      <x:c r="M32" s="98" t="str">
        <x:v>3.6 Catalog QA &amp; Certification</x:v>
      </x:c>
      <x:c r="N32" s="58" t="str">
        <x:v>Live — Reverify After Global Styling</x:v>
      </x:c>
    </x:row>
    <x:row r="33" ht="70" customHeight="1">
      <x:c r="A33" s="57" t="n">
        <x:v>27</x:v>
      </x:c>
      <x:c r="B33" s="98" t="str">
        <x:v>P4-DAT-P-12_multimodal_ingestion_flow</x:v>
      </x:c>
      <x:c r="C33" s="98" t="str">
        <x:v>Multimodal Ingestion Flow</x:v>
      </x:c>
      <x:c r="D33" s="98" t="str">
        <x:v>KEEP + CHANGE</x:v>
      </x:c>
      <x:c r="E33" s="98" t="str">
        <x:v>Enterprise Multimodal Ingestion &amp; Content Understanding</x:v>
      </x:c>
      <x:c r="F33" s="98" t="str">
        <x:v>A single multimodal ingestion flow into AI/data processing.</x:v>
      </x:c>
      <x:c r="G33" s="98" t="str">
        <x:v>Branch by modality before converging on normalized metadata/content.</x:v>
      </x:c>
      <x:c r="H33" s="98" t="str">
        <x:v>One generic ingestion path that suggests all modalities use the same extraction technology.</x:v>
      </x:c>
      <x:c r="I33" s="98" t="str">
        <x:v>Document AI; image/video analysis where relevant; speech/audio processing; metadata normalization; Sensitive Data Protection; validation; index/RAG paths.</x:v>
      </x:c>
      <x:c r="J33" s="98" t="str">
        <x:v>Related to proposed #60 IDP; #27 is multimodal, #60 is document-centric business processing.</x:v>
      </x:c>
      <x:c r="K33" s="98" t="str">
        <x:v>Yes</x:v>
      </x:c>
      <x:c r="L33" s="98" t="str">
        <x:v>P1</x:v>
      </x:c>
      <x:c r="M33" s="98" t="str">
        <x:v>3.2 Technical Accuracy Cleanup</x:v>
      </x:c>
      <x:c r="N33" s="58" t="str">
        <x:v>Not Reviewed</x:v>
      </x:c>
    </x:row>
    <x:row r="34" ht="70" customHeight="1">
      <x:c r="A34" s="57" t="n">
        <x:v>28</x:v>
      </x:c>
      <x:c r="B34" s="98" t="str">
        <x:v>P4-DAT-P-13_real_time_streaming_analytics</x:v>
      </x:c>
      <x:c r="C34" s="98" t="str">
        <x:v>Real-Time Streaming Analytics</x:v>
      </x:c>
      <x:c r="D34" s="98" t="str">
        <x:v>KEEP</x:v>
      </x:c>
      <x:c r="E34" s="98" t="str">
        <x:v>Real-Time Streaming Analytics Architecture</x:v>
      </x:c>
      <x:c r="F34" s="98" t="str">
        <x:v>Real-time ingestion, processing, analytics and serving.</x:v>
      </x:c>
      <x:c r="G34" s="98" t="str">
        <x:v>Contextualize delivery/processing guarantees instead of presenting exactly-once as universal.</x:v>
      </x:c>
      <x:c r="H34" s="98" t="str">
        <x:v>Blanket exactly-once claims or arrows that hide replay/late-data behavior.</x:v>
      </x:c>
      <x:c r="I34" s="98" t="str">
        <x:v>Pub/Sub; Dataflow; event-time/watermarks; idempotency; DLQ; late data; streaming sink; observability.</x:v>
      </x:c>
      <x:c r="J34" s="98" t="str">
        <x:v>Related to #25/#26 but focused on analytics.</x:v>
      </x:c>
      <x:c r="K34" s="98" t="str">
        <x:v>Partial</x:v>
      </x:c>
      <x:c r="L34" s="98" t="str">
        <x:v>P2</x:v>
      </x:c>
      <x:c r="M34" s="98" t="str">
        <x:v>3.5 Visual Rebuild / Fidelity</x:v>
      </x:c>
      <x:c r="N34" s="58" t="str">
        <x:v>Not Reviewed</x:v>
      </x:c>
    </x:row>
    <x:row r="35" ht="70" customHeight="1">
      <x:c r="A35" s="57" t="n">
        <x:v>29</x:v>
      </x:c>
      <x:c r="B35" s="98" t="str">
        <x:v>P5-APP-L-01_six_rs_migration_matrix</x:v>
      </x:c>
      <x:c r="C35" s="98" t="str">
        <x:v>6Rs Migration Disposition Matrix</x:v>
      </x:c>
      <x:c r="D35" s="98" t="str">
        <x:v>KEEP + NORMALIZE</x:v>
      </x:c>
      <x:c r="E35" s="98" t="str">
        <x:v>6Rs Application Migration Disposition Matrix</x:v>
      </x:c>
      <x:c r="F35" s="98" t="str">
        <x:v>Migration disposition choices across the 6Rs.</x:v>
      </x:c>
      <x:c r="G35" s="98" t="str">
        <x:v>Use one canonical 6R vocabulary consistently across labels and decision logic.</x:v>
      </x:c>
      <x:c r="H35" s="98" t="str">
        <x:v>Inconsistent R names or overlapping definitions.</x:v>
      </x:c>
      <x:c r="I35" s="98" t="str">
        <x:v>Decision criteria; cost/complexity/risk; target pattern; dependency on wave planning; owner/approval.</x:v>
      </x:c>
      <x:c r="J35" s="98" t="str">
        <x:v>Related to #1 dependency map.</x:v>
      </x:c>
      <x:c r="K35" s="98" t="str">
        <x:v>Partial</x:v>
      </x:c>
      <x:c r="L35" s="98" t="str">
        <x:v>P2</x:v>
      </x:c>
      <x:c r="M35" s="98" t="str">
        <x:v>3.2 Technical Accuracy Cleanup</x:v>
      </x:c>
      <x:c r="N35" s="58" t="str">
        <x:v>Not Reviewed</x:v>
      </x:c>
    </x:row>
    <x:row r="36" ht="70" customHeight="1">
      <x:c r="A36" s="57" t="n">
        <x:v>30</x:v>
      </x:c>
      <x:c r="B36" s="98" t="str">
        <x:v>P5-SEC-P-02_enterprise_sre_observability</x:v>
      </x:c>
      <x:c r="C36" s="98" t="str">
        <x:v>Enterprise SRE &amp; Observability Architecture</x:v>
      </x:c>
      <x:c r="D36" s="98" t="str">
        <x:v>REBUILD</x:v>
      </x:c>
      <x:c r="E36" s="98" t="str">
        <x:v>Enterprise SRE, Observability &amp; Reliability Architecture</x:v>
      </x:c>
      <x:c r="F36" s="98" t="str">
        <x:v>SRE and observability services, but taxonomy and flow are weak.</x:v>
      </x:c>
      <x:c r="G36" s="98" t="str">
        <x:v>Center the design on telemetry-to-detection-to-response-to-learning.</x:v>
      </x:c>
      <x:c r="H36" s="98" t="str">
        <x:v>Cloud-infrastructure-security classification and monitoring boxes without SLO/incident context.</x:v>
      </x:c>
      <x:c r="I36" s="98" t="str">
        <x:v>Metrics/logs/traces; Cloud Monitoring/Logging/Trace; SLI/SLO; error budgets; alerting; on-call; runbooks; incident workflow; postmortem feedback.</x:v>
      </x:c>
      <x:c r="J36" s="98" t="str">
        <x:v>Related to #32 incident and #37 DR.</x:v>
      </x:c>
      <x:c r="K36" s="98" t="str">
        <x:v>Yes</x:v>
      </x:c>
      <x:c r="L36" s="98" t="str">
        <x:v>P0</x:v>
      </x:c>
      <x:c r="M36" s="98" t="str">
        <x:v>3.2 Technical Accuracy Cleanup</x:v>
      </x:c>
      <x:c r="N36" s="58" t="str">
        <x:v>Not Reviewed</x:v>
      </x:c>
    </x:row>
    <x:row r="37" ht="70" customHeight="1">
      <x:c r="A37" s="57" t="n">
        <x:v>31</x:v>
      </x:c>
      <x:c r="B37" s="98" t="str">
        <x:v>P5-GOV-P-03_golive_warroom_runbook</x:v>
      </x:c>
      <x:c r="C37" s="98" t="str">
        <x:v>Go-Live Cutover &amp; War Room Runbook</x:v>
      </x:c>
      <x:c r="D37" s="98" t="str">
        <x:v>KEEP — REFERENCE</x:v>
      </x:c>
      <x:c r="E37" s="98" t="str">
        <x:v>Go-Live Cutover &amp; War Room Runbook</x:v>
      </x:c>
      <x:c r="F37" s="98" t="str">
        <x:v>Redesigned six-stage cutover/war-room runbook with command structure, rollback and telemetry.</x:v>
      </x:c>
      <x:c r="G37" s="98" t="str">
        <x:v>Only correct terminology and live-render regressions.</x:v>
      </x:c>
      <x:c r="H37" s="98" t="str">
        <x:v>Duplicate in-canvas title/header; use 'Cloud Load Balancing' rather than legacy product wording.</x:v>
      </x:c>
      <x:c r="I37" s="98" t="str">
        <x:v>Explicit note that numeric RTO/RPO/error thresholds are example targets configured per workload/SLO.</x:v>
      </x:c>
      <x:c r="J37" s="98" t="str">
        <x:v>Reference-quality detailed process template.</x:v>
      </x:c>
      <x:c r="K37" s="98" t="str">
        <x:v>No</x:v>
      </x:c>
      <x:c r="L37" s="98" t="str">
        <x:v>P2</x:v>
      </x:c>
      <x:c r="M37" s="98" t="str">
        <x:v>3.6 Catalog QA &amp; Certification</x:v>
      </x:c>
      <x:c r="N37" s="58" t="str">
        <x:v>Live — Reverify After Global Styling</x:v>
      </x:c>
    </x:row>
    <x:row r="38" ht="70" customHeight="1">
      <x:c r="A38" s="57" t="n">
        <x:v>32</x:v>
      </x:c>
      <x:c r="B38" s="98" t="str">
        <x:v>P5-GOV-L-04_incident_triage_swimlane</x:v>
      </x:c>
      <x:c r="C38" s="98" t="str">
        <x:v>Incident Triage &amp; SRE Escalation Swimlane</x:v>
      </x:c>
      <x:c r="D38" s="98" t="str">
        <x:v>KEEP + CHANGE</x:v>
      </x:c>
      <x:c r="E38" s="98" t="str">
        <x:v>Incident Triage, Escalation &amp; SRE Response Swimlane</x:v>
      </x:c>
      <x:c r="F38" s="98" t="str">
        <x:v>An incident swimlane across teams and escalation steps.</x:v>
      </x:c>
      <x:c r="G38" s="98" t="str">
        <x:v>Make ownership and severity transitions explicit; Gemini can assist, not own RCA.</x:v>
      </x:c>
      <x:c r="H38" s="98" t="str">
        <x:v>AI-generated RCA shown as authoritative or final.</x:v>
      </x:c>
      <x:c r="I38" s="98" t="str">
        <x:v>Alert intake; severity; ownership; mitigation; communication; escalation; recovery; postmortem; evidence/audit.</x:v>
      </x:c>
      <x:c r="J38" s="98" t="str">
        <x:v>Operational behavior view for #30.</x:v>
      </x:c>
      <x:c r="K38" s="98" t="str">
        <x:v>Partial</x:v>
      </x:c>
      <x:c r="L38" s="98" t="str">
        <x:v>P1</x:v>
      </x:c>
      <x:c r="M38" s="98" t="str">
        <x:v>3.2 Technical Accuracy Cleanup</x:v>
      </x:c>
      <x:c r="N38" s="58" t="str">
        <x:v>Not Reviewed</x:v>
      </x:c>
    </x:row>
    <x:row r="39" ht="70" customHeight="1">
      <x:c r="A39" s="57" t="n">
        <x:v>33</x:v>
      </x:c>
      <x:c r="B39" s="98" t="str">
        <x:v>P5-AI-L-05_llm_capacity_quota_management</x:v>
      </x:c>
      <x:c r="C39" s="98" t="str">
        <x:v>Comprehensive Topology for LLM Capacity Quota Management</x:v>
      </x:c>
      <x:c r="D39" s="98" t="str">
        <x:v>REBUILD</x:v>
      </x:c>
      <x:c r="E39" s="98" t="str">
        <x:v>LLM Capacity, Quota &amp; Provisioned Throughput Architecture</x:v>
      </x:c>
      <x:c r="F39" s="98" t="str">
        <x:v>A topology for LLM capacity and quota control.</x:v>
      </x:c>
      <x:c r="G39" s="98" t="str">
        <x:v>Separate distinct capacity concepts and show enforceable control points.</x:v>
      </x:c>
      <x:c r="H39" s="98" t="str">
        <x:v>Fictitious 'quota governor' components or one-box capacity management.</x:v>
      </x:c>
      <x:c r="I39" s="98" t="str">
        <x:v>Service quotas; Provisioned Throughput; application rate limits; queue/backpressure; retry/fallback; multi-region/model routing; monitoring and forecasting.</x:v>
      </x:c>
      <x:c r="J39" s="98" t="str">
        <x:v>Related to #5 FinOps but focused on technical capacity.</x:v>
      </x:c>
      <x:c r="K39" s="98" t="str">
        <x:v>Yes</x:v>
      </x:c>
      <x:c r="L39" s="98" t="str">
        <x:v>P0</x:v>
      </x:c>
      <x:c r="M39" s="98" t="str">
        <x:v>3.2 Technical Accuracy Cleanup</x:v>
      </x:c>
      <x:c r="N39" s="58" t="str">
        <x:v>Not Reviewed</x:v>
      </x:c>
    </x:row>
    <x:row r="40" ht="70" customHeight="1">
      <x:c r="A40" s="57" t="n">
        <x:v>34</x:v>
      </x:c>
      <x:c r="B40" s="98" t="str">
        <x:v>P5-AI-L-06_ai_coe_operating_model</x:v>
      </x:c>
      <x:c r="C40" s="98" t="str">
        <x:v>AI Center of Excellence (CoE) Operating Model</x:v>
      </x:c>
      <x:c r="D40" s="98" t="str">
        <x:v>KEEP + CHANGE</x:v>
      </x:c>
      <x:c r="E40" s="98" t="str">
        <x:v>Enterprise AI Center of Excellence Operating Model</x:v>
      </x:c>
      <x:c r="F40" s="98" t="str">
        <x:v>A CoE diagram but historically categorized too close to application architecture.</x:v>
      </x:c>
      <x:c r="G40" s="98" t="str">
        <x:v>Treat it as an organizational/operating model, not a runtime architecture.</x:v>
      </x:c>
      <x:c r="H40" s="98" t="str">
        <x:v>Application-layer semantics and unnecessary service icons.</x:v>
      </x:c>
      <x:c r="I40" s="98" t="str">
        <x:v>Roles; intake/prioritization; standards; reusable assets; governance gates; enablement; metrics; product-feedback loop; operating cadence.</x:v>
      </x:c>
      <x:c r="J40" s="98" t="str">
        <x:v>Related to #5, #21-#23.</x:v>
      </x:c>
      <x:c r="K40" s="98" t="str">
        <x:v>Yes</x:v>
      </x:c>
      <x:c r="L40" s="98" t="str">
        <x:v>P1</x:v>
      </x:c>
      <x:c r="M40" s="98" t="str">
        <x:v>3.2 Technical Accuracy Cleanup</x:v>
      </x:c>
      <x:c r="N40" s="58" t="str">
        <x:v>Not Reviewed</x:v>
      </x:c>
    </x:row>
    <x:row r="41" ht="70" customHeight="1">
      <x:c r="A41" s="57" t="n">
        <x:v>35</x:v>
      </x:c>
      <x:c r="B41" s="98" t="str">
        <x:v>P5-AI-P-07_tech_llmops_lifecycle</x:v>
      </x:c>
      <x:c r="C41" s="98" t="str">
        <x:v>LLMOps Prompt Configuration Lifecycle</x:v>
      </x:c>
      <x:c r="D41" s="98" t="str">
        <x:v>CHANGE</x:v>
      </x:c>
      <x:c r="E41" s="98" t="str">
        <x:v>LLMOps Prompt, Evaluation &amp; Release Lifecycle</x:v>
      </x:c>
      <x:c r="F41" s="98" t="str">
        <x:v>Prompt configuration lifecycle with some LLMOps concepts.</x:v>
      </x:c>
      <x:c r="G41" s="98" t="str">
        <x:v>Keep the template about prompt/config lifecycle rather than generic model training.</x:v>
      </x:c>
      <x:c r="H41" s="98" t="str">
        <x:v>RLHF/training stages unless explicitly part of the use case.</x:v>
      </x:c>
      <x:c r="I41" s="98" t="str">
        <x:v>Prompt/version store; test set; eval; safety checks; approval; deployment; monitoring; rollback; audit.</x:v>
      </x:c>
      <x:c r="J41" s="98" t="str">
        <x:v>Related to proposed #57 MLOps but deliberately distinct.</x:v>
      </x:c>
      <x:c r="K41" s="98" t="str">
        <x:v>Partial</x:v>
      </x:c>
      <x:c r="L41" s="98" t="str">
        <x:v>P1</x:v>
      </x:c>
      <x:c r="M41" s="98" t="str">
        <x:v>3.2 Technical Accuracy Cleanup</x:v>
      </x:c>
      <x:c r="N41" s="58" t="str">
        <x:v>Not Reviewed</x:v>
      </x:c>
    </x:row>
    <x:row r="42" ht="70" customHeight="1">
      <x:c r="A42" s="57" t="n">
        <x:v>36</x:v>
      </x:c>
      <x:c r="B42" s="98" t="str">
        <x:v>P5-DAT-P-08_dataops_anomaly_detection</x:v>
      </x:c>
      <x:c r="C42" s="98" t="str">
        <x:v>DataOps &amp; Anomaly Detection Architecture</x:v>
      </x:c>
      <x:c r="D42" s="98" t="str">
        <x:v>KEEP + UPDATE</x:v>
      </x:c>
      <x:c r="E42" s="98" t="str">
        <x:v>DataOps, Data Quality &amp; Anomaly Detection Architecture</x:v>
      </x:c>
      <x:c r="F42" s="98" t="str">
        <x:v>DataOps pipeline with monitoring/anomaly detection.</x:v>
      </x:c>
      <x:c r="G42" s="98" t="str">
        <x:v>Update governance/catalog terminology and tighten remediation flow.</x:v>
      </x:c>
      <x:c r="H42" s="98" t="str">
        <x:v>Old Dataplex catalog names and alerting without ownership.</x:v>
      </x:c>
      <x:c r="I42" s="98" t="str">
        <x:v>Quality rules; anomaly detection; lineage; ownership; alert; quarantine/remediation; replay; audit.</x:v>
      </x:c>
      <x:c r="J42" s="98" t="str">
        <x:v>Related to #9/#11/#49.</x:v>
      </x:c>
      <x:c r="K42" s="98" t="str">
        <x:v>Partial</x:v>
      </x:c>
      <x:c r="L42" s="98" t="str">
        <x:v>P1</x:v>
      </x:c>
      <x:c r="M42" s="98" t="str">
        <x:v>3.2 Technical Accuracy Cleanup</x:v>
      </x:c>
      <x:c r="N42" s="58" t="str">
        <x:v>Not Reviewed</x:v>
      </x:c>
    </x:row>
    <x:row r="43" ht="70" customHeight="1">
      <x:c r="A43" s="57" t="n">
        <x:v>37</x:v>
      </x:c>
      <x:c r="B43" s="98" t="str">
        <x:v>P5-GOV-P-09_bcdr_multi_region_failover</x:v>
      </x:c>
      <x:c r="C43" s="98" t="str">
        <x:v>Multi-Region Active-Active Disaster Recovery</x:v>
      </x:c>
      <x:c r="D43" s="98" t="str">
        <x:v>P0 REBUILD</x:v>
      </x:c>
      <x:c r="E43" s="98" t="str">
        <x:v>Multi-Region Active-Passive Disaster Recovery</x:v>
      </x:c>
      <x:c r="F43" s="98" t="str">
        <x:v>A DR template with metadata/content that historically mixed active-active and active-passive/pilot-light concepts.</x:v>
      </x:c>
      <x:c r="G43" s="98" t="str">
        <x:v>Choose one operating mode and make title, topology and runbook consistent. Current recommended direction: active-passive.</x:v>
      </x:c>
      <x:c r="H43" s="98" t="str">
        <x:v>Active-active title combined with active-passive body; ambiguous replication and failover arrows.</x:v>
      </x:c>
      <x:c r="I43" s="98" t="str">
        <x:v>Primary/secondary regions; workload/data replication; traffic/DNS control; failover gate; RTO/RPO; failback; DR testing cadence; data-consistency notes.</x:v>
      </x:c>
      <x:c r="J43" s="98" t="str">
        <x:v>Different from proposed #53, which is normal HA rather than disaster-recovery operating procedure.</x:v>
      </x:c>
      <x:c r="K43" s="98" t="str">
        <x:v>Yes</x:v>
      </x:c>
      <x:c r="L43" s="98" t="str">
        <x:v>P0</x:v>
      </x:c>
      <x:c r="M43" s="98" t="str">
        <x:v>3.1 Critical Architecture Rebuilds</x:v>
      </x:c>
      <x:c r="N43" s="58" t="str">
        <x:v>Not Reviewed</x:v>
      </x:c>
    </x:row>
    <x:row r="44" ht="70" customHeight="1">
      <x:c r="A44" s="57" t="n">
        <x:v>38</x:v>
      </x:c>
      <x:c r="B44" s="98" t="str">
        <x:v>IND-FINTECH-01_IND-FINTECH-03_automated_personalized_financial_advising</x:v>
      </x:c>
      <x:c r="C44" s="98" t="str">
        <x:v>Automated Personalized Financial Advising</x:v>
      </x:c>
      <x:c r="D44" s="98" t="str">
        <x:v>KEEP + UPDATE</x:v>
      </x:c>
      <x:c r="E44" s="98" t="str">
        <x:v>AI-Assisted Personalized Financial Advising Architecture</x:v>
      </x:c>
      <x:c r="F44" s="98" t="str">
        <x:v>Personalized financial-advice flow using AI and enterprise data.</x:v>
      </x:c>
      <x:c r="G44" s="98" t="str">
        <x:v>Make human-advisor, suitability and regulatory controls explicit.</x:v>
      </x:c>
      <x:c r="H44" s="98" t="str">
        <x:v>Hard-coded model versions and fully autonomous final advice.</x:v>
      </x:c>
      <x:c r="I44" s="98" t="str">
        <x:v>Suitability/profile checks; human advisor approval; explainability; PII protection; consent; audit trail; model/risk monitoring.</x:v>
      </x:c>
      <x:c r="J44" s="98" t="str">
        <x:v>Industry-specific.</x:v>
      </x:c>
      <x:c r="K44" s="98" t="str">
        <x:v>Partial</x:v>
      </x:c>
      <x:c r="L44" s="98" t="str">
        <x:v>P1</x:v>
      </x:c>
      <x:c r="M44" s="98" t="str">
        <x:v>3.2 Technical Accuracy Cleanup</x:v>
      </x:c>
      <x:c r="N44" s="58" t="str">
        <x:v>Not Reviewed</x:v>
      </x:c>
    </x:row>
    <x:row r="45" ht="70" customHeight="1">
      <x:c r="A45" s="57" t="n">
        <x:v>39</x:v>
      </x:c>
      <x:c r="B45" s="98" t="str">
        <x:v>IND-MFG-02_ge_equipment_optimization_gemini</x:v>
      </x:c>
      <x:c r="C45" s="98" t="str">
        <x:v>Google Cloud Industry 4.0: Smart Factory IoT &amp; Predictive Maintenance Architecture</x:v>
      </x:c>
      <x:c r="D45" s="98" t="str">
        <x:v>DIFFERENTIATE</x:v>
      </x:c>
      <x:c r="E45" s="98" t="str">
        <x:v>Equipment Predictive Maintenance &amp; Closed-Loop Service Architecture</x:v>
      </x:c>
      <x:c r="F45" s="98" t="str">
        <x:v>Manufacturing IoT/predictive-maintenance content that overlaps with #42.</x:v>
      </x:c>
      <x:c r="G45" s="98" t="str">
        <x:v>Narrow this template to equipment/asset predictive maintenance and service execution.</x:v>
      </x:c>
      <x:c r="H45" s="98" t="str">
        <x:v>Plant-wide digital-twin/ISA-95 scope that belongs in #42.</x:v>
      </x:c>
      <x:c r="I45" s="98" t="str">
        <x:v>Asset telemetry; edge ingestion; condition features; prediction; anomaly/remaining-life insight; maintenance recommendation; CMMS/work order; technician feedback loop.</x:v>
      </x:c>
      <x:c r="J45" s="98" t="str">
        <x:v>Must be clearly distinct from #42.</x:v>
      </x:c>
      <x:c r="K45" s="98" t="str">
        <x:v>Yes</x:v>
      </x:c>
      <x:c r="L45" s="98" t="str">
        <x:v>P0</x:v>
      </x:c>
      <x:c r="M45" s="98" t="str">
        <x:v>3.3 Duplication &amp; Portfolio Rationalization</x:v>
      </x:c>
      <x:c r="N45" s="58" t="str">
        <x:v>Not Reviewed</x:v>
      </x:c>
    </x:row>
    <x:row r="46" ht="70" customHeight="1">
      <x:c r="A46" s="57" t="n">
        <x:v>40</x:v>
      </x:c>
      <x:c r="B46" s="98" t="str">
        <x:v>IND-PHARMA-03_IND-PHARMA-01_pharma_genomics_pipeline</x:v>
      </x:c>
      <x:c r="C46" s="98" t="str">
        <x:v>Pharma-Specific Genomics &amp; Drug Discovery Pipeline with Agentic AI</x:v>
      </x:c>
      <x:c r="D46" s="98" t="str">
        <x:v>KEEP + UPDATE</x:v>
      </x:c>
      <x:c r="E46" s="98" t="str">
        <x:v>Pharma Genomics &amp; AI-Assisted Drug Discovery Architecture</x:v>
      </x:c>
      <x:c r="F46" s="98" t="str">
        <x:v>Genomics and drug-discovery pipeline with AI components.</x:v>
      </x:c>
      <x:c r="G46" s="98" t="str">
        <x:v>Make regulated scientific workflow, validation and data controls explicit.</x:v>
      </x:c>
      <x:c r="H46" s="98" t="str">
        <x:v>Product labels such as 'AlphaFold Pro' presented as a generic managed GCP service.</x:v>
      </x:c>
      <x:c r="I46" s="98" t="str">
        <x:v>Sequencing/genomics data; scalable compute/data processing; AI/ML analysis; experiment provenance; human scientific review; audit; sensitive-data controls.</x:v>
      </x:c>
      <x:c r="J46" s="98" t="str">
        <x:v>Industry-specific.</x:v>
      </x:c>
      <x:c r="K46" s="98" t="str">
        <x:v>Partial</x:v>
      </x:c>
      <x:c r="L46" s="98" t="str">
        <x:v>P1</x:v>
      </x:c>
      <x:c r="M46" s="98" t="str">
        <x:v>3.2 Technical Accuracy Cleanup</x:v>
      </x:c>
      <x:c r="N46" s="58" t="str">
        <x:v>Not Reviewed</x:v>
      </x:c>
    </x:row>
    <x:row r="47" ht="70" customHeight="1">
      <x:c r="A47" s="57" t="n">
        <x:v>41</x:v>
      </x:c>
      <x:c r="B47" s="98" t="str">
        <x:v>IND-RETAIL-04_omnichannel_ecommerce_retail</x:v>
      </x:c>
      <x:c r="C47" s="98" t="str">
        <x:v>Google Cloud Retail Platform: OmniChannel Intelligent Commerce &amp; Retail AI Architecture</x:v>
      </x:c>
      <x:c r="D47" s="98" t="str">
        <x:v>KEEP</x:v>
      </x:c>
      <x:c r="E47" s="98" t="str">
        <x:v>Omnichannel Intelligent Commerce &amp; Retail AI Architecture</x:v>
      </x:c>
      <x:c r="F47" s="98" t="str">
        <x:v>Omnichannel commerce, retail data and AI/personalization.</x:v>
      </x:c>
      <x:c r="G47" s="98" t="str">
        <x:v>Separate systems of record from intelligence/personalization layers.</x:v>
      </x:c>
      <x:c r="H47" s="98" t="str">
        <x:v>Conflation of transactional truth with recommendation/concierge components.</x:v>
      </x:c>
      <x:c r="I47" s="98" t="str">
        <x:v>Channels; order/inventory; customer data; event stream; personalization/search; consent; analytics; observability.</x:v>
      </x:c>
      <x:c r="J47" s="98" t="str">
        <x:v>Industry-specific.</x:v>
      </x:c>
      <x:c r="K47" s="98" t="str">
        <x:v>Partial</x:v>
      </x:c>
      <x:c r="L47" s="98" t="str">
        <x:v>P2</x:v>
      </x:c>
      <x:c r="M47" s="98" t="str">
        <x:v>3.5 Visual Rebuild / Fidelity</x:v>
      </x:c>
      <x:c r="N47" s="58" t="str">
        <x:v>Not Reviewed</x:v>
      </x:c>
    </x:row>
    <x:row r="48" ht="70" customHeight="1">
      <x:c r="A48" s="57" t="n">
        <x:v>42</x:v>
      </x:c>
      <x:c r="B48" s="98" t="str">
        <x:v>IND-MFG-05_smart_manufacturing_iot</x:v>
      </x:c>
      <x:c r="C48" s="98" t="str">
        <x:v>Google Cloud Industry 4.0: Smart Factory IoT &amp; Predictive Maintenance Platform</x:v>
      </x:c>
      <x:c r="D48" s="98" t="str">
        <x:v>DIFFERENTIATE</x:v>
      </x:c>
      <x:c r="E48" s="98" t="str">
        <x:v>Smart Factory Digital Twin &amp; Edge-to-Cloud Operations Platform</x:v>
      </x:c>
      <x:c r="F48" s="98" t="str">
        <x:v>Smart-manufacturing/IoT content with substantial overlap with #39.</x:v>
      </x:c>
      <x:c r="G48" s="98" t="str">
        <x:v>Make this the plant-wide ISA-95/digital-twin operating platform rather than another predictive-maintenance diagram.</x:v>
      </x:c>
      <x:c r="H48" s="98" t="str">
        <x:v>Equipment-prediction-centric flow that belongs in #39.</x:v>
      </x:c>
      <x:c r="I48" s="98" t="str">
        <x:v>ISA-95 levels; PLC/SCADA/MES; edge gateways; secure OT/IT boundary; data platform; digital twin; enterprise integration; plant-wide optimization/AI.</x:v>
      </x:c>
      <x:c r="J48" s="98" t="str">
        <x:v>Must be clearly distinct from #39.</x:v>
      </x:c>
      <x:c r="K48" s="98" t="str">
        <x:v>Yes</x:v>
      </x:c>
      <x:c r="L48" s="98" t="str">
        <x:v>P0</x:v>
      </x:c>
      <x:c r="M48" s="98" t="str">
        <x:v>3.3 Duplication &amp; Portfolio Rationalization</x:v>
      </x:c>
      <x:c r="N48" s="58" t="str">
        <x:v>Not Reviewed</x:v>
      </x:c>
    </x:row>
    <x:row r="49" ht="70" customHeight="1">
      <x:c r="A49" s="57" t="n">
        <x:v>43</x:v>
      </x:c>
      <x:c r="B49" s="98" t="str">
        <x:v>IND-HR-06_workforce_talent_ai</x:v>
      </x:c>
      <x:c r="C49" s="98" t="str">
        <x:v>Google Cloud HR &amp; Talent Solution: WorkforceAI People Intelligence Platform</x:v>
      </x:c>
      <x:c r="D49" s="98" t="str">
        <x:v>KEEP + UPDATE</x:v>
      </x:c>
      <x:c r="E49" s="98" t="str">
        <x:v>Workforce AI &amp; People Intelligence Platform</x:v>
      </x:c>
      <x:c r="F49" s="98" t="str">
        <x:v>HR/talent data and AI intelligence.</x:v>
      </x:c>
      <x:c r="G49" s="98" t="str">
        <x:v>Make fairness, privacy, explainability and human decision authority explicit.</x:v>
      </x:c>
      <x:c r="H49" s="98" t="str">
        <x:v>Fully automated high-impact employment decisions.</x:v>
      </x:c>
      <x:c r="I49" s="98" t="str">
        <x:v>Human review; fairness monitoring; explainability; consent/retention; Sensitive Data Protection; role-based access; audit.</x:v>
      </x:c>
      <x:c r="J49" s="98" t="str">
        <x:v>Industry-specific.</x:v>
      </x:c>
      <x:c r="K49" s="98" t="str">
        <x:v>Partial</x:v>
      </x:c>
      <x:c r="L49" s="98" t="str">
        <x:v>P1</x:v>
      </x:c>
      <x:c r="M49" s="98" t="str">
        <x:v>3.2 Technical Accuracy Cleanup</x:v>
      </x:c>
      <x:c r="N49" s="58" t="str">
        <x:v>Not Reviewed</x:v>
      </x:c>
    </x:row>
    <x:row r="50" ht="70" customHeight="1">
      <x:c r="A50" s="57" t="n">
        <x:v>44</x:v>
      </x:c>
      <x:c r="B50" s="98" t="str">
        <x:v>IND-HEALTH-07_IND-HEALTH-01_healthcare_fhir_hl7</x:v>
      </x:c>
      <x:c r="C50" s="98" t="str">
        <x:v>Google Cloud Healthcare &amp; Life Sciences FHIR/HL7 Clinical AI Platform</x:v>
      </x:c>
      <x:c r="D50" s="98" t="str">
        <x:v>REBUILD / POLISH</x:v>
      </x:c>
      <x:c r="E50" s="98" t="str">
        <x:v>Healthcare Interoperability, FHIR/HL7 &amp; Clinical AI Platform</x:v>
      </x:c>
      <x:c r="F50" s="98" t="str">
        <x:v>FHIR/HL7 clinical integration, data and AI in one platform view.</x:v>
      </x:c>
      <x:c r="G50" s="98" t="str">
        <x:v>Separate interoperability, governed clinical data, analytics/AI and clinical-consumption boundaries.</x:v>
      </x:c>
      <x:c r="H50" s="98" t="str">
        <x:v>AI shown as a clinical decision authority and outdated Sensitive Data Protection naming.</x:v>
      </x:c>
      <x:c r="I50" s="98" t="str">
        <x:v>FHIR/HL7 ingestion; clinical data store; terminology/identity mapping; analytics; governed AI; human clinical oversight; audit; consent/privacy controls.</x:v>
      </x:c>
      <x:c r="J50" s="98" t="str">
        <x:v>Industry-specific but also uses patterns from #9/#11/#27.</x:v>
      </x:c>
      <x:c r="K50" s="98" t="str">
        <x:v>Yes</x:v>
      </x:c>
      <x:c r="L50" s="98" t="str">
        <x:v>P0</x:v>
      </x:c>
      <x:c r="M50" s="98" t="str">
        <x:v>3.2 Technical Accuracy Cleanup</x:v>
      </x:c>
      <x:c r="N50" s="58" t="str">
        <x:v>Not Reviewed</x:v>
      </x:c>
    </x:row>
    <x:row r="51" ht="70" customHeight="1">
      <x:c r="A51" s="57" t="n">
        <x:v>45</x:v>
      </x:c>
      <x:c r="B51" s="98" t="str">
        <x:v>ARCH-C4-01_c4_system_context_container</x:v>
      </x:c>
      <x:c r="C51" s="98" t="str">
        <x:v>C4 System Context &amp; Container Model</x:v>
      </x:c>
      <x:c r="D51" s="98" t="str">
        <x:v>KEEP</x:v>
      </x:c>
      <x:c r="E51" s="98" t="str">
        <x:v>C4 System Context &amp; Container Model</x:v>
      </x:c>
      <x:c r="F51" s="98" t="str">
        <x:v>C4 L1/L2 context and container views.</x:v>
      </x:c>
      <x:c r="G51" s="98" t="str">
        <x:v>Preserve C4 semantics over vendor-infographic styling.</x:v>
      </x:c>
      <x:c r="H51" s="98" t="str">
        <x:v>Decorative Google Cloud styling that weakens notation fidelity.</x:v>
      </x:c>
      <x:c r="I51" s="98" t="str">
        <x:v>Clear persons; software systems; containers; responsibilities; relationships; technology labels; C4 legend.</x:v>
      </x:c>
      <x:c r="J51" s="98" t="str">
        <x:v>Parent view for #46.</x:v>
      </x:c>
      <x:c r="K51" s="98" t="str">
        <x:v>No</x:v>
      </x:c>
      <x:c r="L51" s="98" t="str">
        <x:v>P2</x:v>
      </x:c>
      <x:c r="M51" s="98" t="str">
        <x:v>3.6 Catalog QA &amp; Certification</x:v>
      </x:c>
      <x:c r="N51" s="58" t="str">
        <x:v>Not Reviewed</x:v>
      </x:c>
    </x:row>
    <x:row r="52" ht="70" customHeight="1">
      <x:c r="A52" s="57" t="n">
        <x:v>46</x:v>
      </x:c>
      <x:c r="B52" s="98" t="str">
        <x:v>ARCH-C4-02_ARCH-C4-03_c4_component_lld</x:v>
      </x:c>
      <x:c r="C52" s="98" t="str">
        <x:v>C4 Level 3 Component Diagram &amp; Microservice LLD</x:v>
      </x:c>
      <x:c r="D52" s="98" t="str">
        <x:v>CHANGE</x:v>
      </x:c>
      <x:c r="E52" s="98" t="str">
        <x:v>C4 Level 3 Component &amp; Microservice LLD</x:v>
      </x:c>
      <x:c r="F52" s="98" t="str">
        <x:v>C4 component-level decomposition but previously misclassified as physical/operations.</x:v>
      </x:c>
      <x:c r="G52" s="98" t="str">
        <x:v>Keep it as a logical/application LLD and make C4 L3 semantics explicit.</x:v>
      </x:c>
      <x:c r="H52" s="98" t="str">
        <x:v>Physical/operations classification and non-C4 decorative shapes.</x:v>
      </x:c>
      <x:c r="I52" s="98" t="str">
        <x:v>Container boundary; internal components; component responsibilities; interfaces; dependencies; technology choices.</x:v>
      </x:c>
      <x:c r="J52" s="98" t="str">
        <x:v>Child view of #45.</x:v>
      </x:c>
      <x:c r="K52" s="98" t="str">
        <x:v>Partial</x:v>
      </x:c>
      <x:c r="L52" s="98" t="str">
        <x:v>P1</x:v>
      </x:c>
      <x:c r="M52" s="98" t="str">
        <x:v>3.2 Technical Accuracy Cleanup</x:v>
      </x:c>
      <x:c r="N52" s="58" t="str">
        <x:v>Not Reviewed</x:v>
      </x:c>
    </x:row>
    <x:row r="53" ht="70" customHeight="1">
      <x:c r="A53" s="57" t="n">
        <x:v>47</x:v>
      </x:c>
      <x:c r="B53" s="98" t="str">
        <x:v>ARCH-BPMN-03_ARCH-BPMN-01_bpmn_process_workflow</x:v>
      </x:c>
      <x:c r="C53" s="98" t="str">
        <x:v>BPMN 2.0 Business Process &amp; Autonomous Workflow</x:v>
      </x:c>
      <x:c r="D53" s="98" t="str">
        <x:v>KEEP</x:v>
      </x:c>
      <x:c r="E53" s="98" t="str">
        <x:v>BPMN 2.0 Business Process &amp; Autonomous Workflow</x:v>
      </x:c>
      <x:c r="F53" s="98" t="str">
        <x:v>BPMN-style lanes, tasks, gateways and events.</x:v>
      </x:c>
      <x:c r="G53" s="98" t="str">
        <x:v>Prioritize BPMN notation fidelity over cloud branding.</x:v>
      </x:c>
      <x:c r="H53" s="98" t="str">
        <x:v>Cloud/service icons inside the process when they do not map to BPMN task semantics.</x:v>
      </x:c>
      <x:c r="I53" s="98" t="str">
        <x:v>Pools/lanes; start/end/intermediate events; user/service tasks; gateways; sequence/message flows; exception paths.</x:v>
      </x:c>
      <x:c r="J53" s="98" t="str">
        <x:v>Detailed process view for BRD/FDD.</x:v>
      </x:c>
      <x:c r="K53" s="98" t="str">
        <x:v>No</x:v>
      </x:c>
      <x:c r="L53" s="98" t="str">
        <x:v>P2</x:v>
      </x:c>
      <x:c r="M53" s="98" t="str">
        <x:v>3.6 Catalog QA &amp; Certification</x:v>
      </x:c>
      <x:c r="N53" s="58" t="str">
        <x:v>Not Reviewed</x:v>
      </x:c>
    </x:row>
    <x:row r="54" ht="70" customHeight="1">
      <x:c r="A54" s="57" t="n">
        <x:v>48</x:v>
      </x:c>
      <x:c r="B54" s="98" t="str">
        <x:v>ARCH-SEC-04_ARCH-SEC-01_threat_modeling_stride</x:v>
      </x:c>
      <x:c r="C54" s="98" t="str">
        <x:v>STRIDE Zero-Trust Threat Model &amp; Boundary Map</x:v>
      </x:c>
      <x:c r="D54" s="98" t="str">
        <x:v>KEEP + CHANGE</x:v>
      </x:c>
      <x:c r="E54" s="98" t="str">
        <x:v>STRIDE Threat Model, Trust Boundaries &amp; Mitigation Map</x:v>
      </x:c>
      <x:c r="F54" s="98" t="str">
        <x:v>STRIDE threats and zero-trust concepts.</x:v>
      </x:c>
      <x:c r="G54" s="98" t="str">
        <x:v>Map threats to real elements, data flows and trust boundaries.</x:v>
      </x:c>
      <x:c r="H54" s="98" t="str">
        <x:v>Random threat badges that are not tied to an asset/flow and do not show mitigation.</x:v>
      </x:c>
      <x:c r="I54" s="98" t="str">
        <x:v>Assets; trust boundaries; DFD flows; per-element threat IDs; STRIDE category; severity; mitigation; residual risk.</x:v>
      </x:c>
      <x:c r="J54" s="98" t="str">
        <x:v>Security analysis view for #16/#20 and other HLDs.</x:v>
      </x:c>
      <x:c r="K54" s="98" t="str">
        <x:v>Yes</x:v>
      </x:c>
      <x:c r="L54" s="98" t="str">
        <x:v>P1</x:v>
      </x:c>
      <x:c r="M54" s="98" t="str">
        <x:v>3.2 Technical Accuracy Cleanup</x:v>
      </x:c>
      <x:c r="N54" s="58" t="str">
        <x:v>Not Reviewed</x:v>
      </x:c>
    </x:row>
    <x:row r="55" ht="70" customHeight="1">
      <x:c r="A55" s="57" t="n">
        <x:v>49</x:v>
      </x:c>
      <x:c r="B55" s="98" t="str">
        <x:v>ARCH-DAT-05_ARCH-DAT-01_data_lineage_provenance</x:v>
      </x:c>
      <x:c r="C55" s="98" t="str">
        <x:v>Column-Level Data Lineage &amp; Provenance Graph</x:v>
      </x:c>
      <x:c r="D55" s="98" t="str">
        <x:v>KEEP + UPDATE</x:v>
      </x:c>
      <x:c r="E55" s="98" t="str">
        <x:v>Column-Level Data Lineage, Transformations &amp; Provenance</x:v>
      </x:c>
      <x:c r="F55" s="98" t="str">
        <x:v>Column-level source-to-target lineage.</x:v>
      </x:c>
      <x:c r="G55" s="98" t="str">
        <x:v>Use current catalog terminology and make transformations explicit.</x:v>
      </x:c>
      <x:c r="H55" s="98" t="str">
        <x:v>Generic arrows that do not state transformation logic.</x:v>
      </x:c>
      <x:c r="I55" s="98" t="str">
        <x:v>Source column; transform/formula/SQL expression; target column; job/pipeline; owner; classification; Knowledge Catalog integration.</x:v>
      </x:c>
      <x:c r="J55" s="98" t="str">
        <x:v>Related to #10 ERD and #11 governance.</x:v>
      </x:c>
      <x:c r="K55" s="98" t="str">
        <x:v>Partial</x:v>
      </x:c>
      <x:c r="L55" s="98" t="str">
        <x:v>P1</x:v>
      </x:c>
      <x:c r="M55" s="98" t="str">
        <x:v>3.2 Technical Accuracy Cleanup</x:v>
      </x:c>
      <x:c r="N55" s="58" t="str">
        <x:v>Not Reviewed</x:v>
      </x:c>
    </x:row>
    <x:row r="56" ht="70" customHeight="1">
      <x:c r="A56" s="59" t="n">
        <x:v>50</x:v>
      </x:c>
      <x:c r="B56" s="99" t="str">
        <x:v>ARCH-MCP-06_ARCH-MCP-02_model_context_protocol_gateway</x:v>
      </x:c>
      <x:c r="C56" s="99" t="str">
        <x:v>Model Context Protocol (MCP) Gateway</x:v>
      </x:c>
      <x:c r="D56" s="99" t="str">
        <x:v>P0 REBUILD</x:v>
      </x:c>
      <x:c r="E56" s="99" t="str">
        <x:v>Enterprise MCP Gateway on Google Cloud</x:v>
      </x:c>
      <x:c r="F56" s="99" t="str">
        <x:v>An older context-ingestion/adapters-bus interpretation with tiny text and dated styling.</x:v>
      </x:c>
      <x:c r="G56" s="99" t="str">
        <x:v>Replace with secure stateless remote MCP access centered on enterprise gateway controls.</x:v>
      </x:c>
      <x:c r="H56" s="99" t="str">
        <x:v>Context-bus model; emoji service icons; old tiny formatting; source systems feeding a monolithic context node.</x:v>
      </x:c>
      <x:c r="I56" s="99" t="str">
        <x:v>AI hosts; MCP client layer; enterprise MCP gateway; OAuth/OIDC; IAM/WIF; policy/allowlist; rate limits; Model Armor; protocol/header routing; Cloud Run MCP servers; enterprise tools/data; request/response; audit/logging.</x:v>
      </x:c>
      <x:c r="J56" s="99" t="str">
        <x:v>Approved reference PNG exists; related to #8/#19 but distinct as tool-access gateway.</x:v>
      </x:c>
      <x:c r="K56" s="99" t="str">
        <x:v>Yes</x:v>
      </x:c>
      <x:c r="L56" s="99" t="str">
        <x:v>P0</x:v>
      </x:c>
      <x:c r="M56" s="99" t="str">
        <x:v>3.1 Critical Architecture Rebuilds</x:v>
      </x:c>
      <x:c r="N56" s="60" t="str">
        <x:v>PNG Approved / XML Pending</x:v>
      </x:c>
    </x:row>
  </x:sheetData>
  <x:mergeCells>
    <x:mergeCell ref="A1:N1"/>
    <x:mergeCell ref="A2:N2"/>
    <x:mergeCell ref="A3:N3"/>
    <x:mergeCell ref="A4:N4"/>
  </x:mergeCells>
  <x:conditionalFormatting sqref="L7:L56">
    <x:cfRule type="cellIs" dxfId="6" priority="1">
      <x:formula>"P0"</x:formula>
    </x:cfRule>
    <x:cfRule type="cellIs" dxfId="7" priority="2">
      <x:formula>"P1"</x:formula>
    </x:cfRule>
    <x:cfRule type="cellIs" dxfId="8" priority="3">
      <x:formula>"P2"</x:formula>
    </x:cfRule>
  </x:conditionalFormatting>
  <x:dataValidations count="1">
    <x:dataValidation type="list" sqref="N7:N56">
      <x:formula1>"Not Reviewed,PNG Approved / XML Pending,Implemented / Deploying,Live — Needs Visual QA,Certified,Retired / Merged"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d49cff129d437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4" hidden="0" customWidth="1"/>
    <x:col min="3" max="3" width="42" hidden="0" customWidth="1"/>
    <x:col min="4" max="4" width="58" hidden="0" customWidth="1"/>
    <x:col min="5" max="5" width="28" hidden="0" customWidth="1"/>
    <x:col min="6" max="6" width="42" hidden="0" customWidth="1"/>
    <x:col min="7" max="7" width="30" hidden="0" customWidth="1"/>
    <x:col min="8" max="8" width="42" hidden="0" customWidth="1"/>
    <x:col min="9" max="9" width="16" hidden="0" customWidth="1"/>
    <x:col min="10" max="10" width="26" hidden="0" customWidth="1"/>
    <x:col min="11" max="11" width="28" hidden="0" customWidth="1"/>
    <x:col min="12" max="12" width="22" hidden="0" customWidth="1"/>
    <x:col min="13" max="13" width="12" hidden="0" customWidth="1"/>
    <x:col min="14" max="14" width="62" hidden="0" customWidth="1"/>
    <x:col min="15" max="15" width="52" hidden="0" customWidth="1"/>
    <x:col min="16" max="16" width="10" hidden="0" customWidth="1"/>
  </x:cols>
  <x:sheetData>
    <x:row r="1" ht="28" customHeight="1">
      <x:c r="A1" s="4" t="str">
        <x:v>Proposed Expansion — Blueprints 51–60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4" customHeight="1">
      <x:c r="A2" s="11" t="str">
        <x:v>Self-contained backlog of genuine architecture gaps. Recommendation: do not add these until the existing 50 are technically and visually certified.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3" ht="28" customHeight="1">
      <x:c r="A3" s="18" t="str">
        <x:v>Add only if the architecture problem is materially distinct from an existing blueprint. Avoid product-specific diagrams that merely showcase one Google Cloud service.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</x:row>
    <x:row r="4" ht="28" customHeight="1">
      <x:c r="A4" s="18" t="str">
        <x:v>Priority is expansion priority after Batch 3, not permission to interrupt certification of the existing 50.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</x:row>
    <x:row r="6" ht="34" customHeight="1">
      <x:c r="A6" s="30" t="str">
        <x:v>#</x:v>
      </x:c>
      <x:c r="B6" s="135" t="str">
        <x:v>Proposed ID</x:v>
      </x:c>
      <x:c r="C6" s="135" t="str">
        <x:v>Template Name</x:v>
      </x:c>
      <x:c r="D6" s="135" t="str">
        <x:v>Why It Is Distinct</x:v>
      </x:c>
      <x:c r="E6" s="135" t="str">
        <x:v>Primary Document Pack</x:v>
      </x:c>
      <x:c r="F6" s="135" t="str">
        <x:v>Secondary Packs</x:v>
      </x:c>
      <x:c r="G6" s="135" t="str">
        <x:v>Domain</x:v>
      </x:c>
      <x:c r="H6" s="135" t="str">
        <x:v>Architecture Concerns</x:v>
      </x:c>
      <x:c r="I6" s="135" t="str">
        <x:v>Abstraction</x:v>
      </x:c>
      <x:c r="J6" s="135" t="str">
        <x:v>Lifecycle</x:v>
      </x:c>
      <x:c r="K6" s="135" t="str">
        <x:v>Notation</x:v>
      </x:c>
      <x:c r="L6" s="135" t="str">
        <x:v>Cloud Scope</x:v>
      </x:c>
      <x:c r="M6" s="135" t="str">
        <x:v>Complexity</x:v>
      </x:c>
      <x:c r="N6" s="135" t="str">
        <x:v>Must Show</x:v>
      </x:c>
      <x:c r="O6" s="135" t="str">
        <x:v>Avoid / Non-goal</x:v>
      </x:c>
      <x:c r="P6" s="31" t="str">
        <x:v>Priority</x:v>
      </x:c>
    </x:row>
    <x:row r="7" ht="78" customHeight="1">
      <x:c r="A7" s="55" t="n">
        <x:v>51</x:v>
      </x:c>
      <x:c r="B7" s="97" t="str">
        <x:v>NEW-APP-01_enterprise_api_management</x:v>
      </x:c>
      <x:c r="C7" s="97" t="str">
        <x:v>Enterprise API Management &amp; Integration Architecture</x:v>
      </x:c>
      <x:c r="D7" s="97" t="str">
        <x:v>A canonical synchronous API architecture is missing. EDA and MCP do not replace API lifecycle, authentication, quotas, mediation and developer-consumer concerns.</x:v>
      </x:c>
      <x:c r="E7" s="97" t="str">
        <x:v>HLD</x:v>
      </x:c>
      <x:c r="F7" s="97" t="str">
        <x:v>LLD / TDD; Security Architecture; FDD</x:v>
      </x:c>
      <x:c r="G7" s="97" t="str">
        <x:v>Application &amp; Integration</x:v>
      </x:c>
      <x:c r="H7" s="97" t="str">
        <x:v>Apigee/API Gateway; auth; quotas; routing; mediation; observability; consumers</x:v>
      </x:c>
      <x:c r="I7" s="97" t="str">
        <x:v>Logical</x:v>
      </x:c>
      <x:c r="J7" s="97" t="str">
        <x:v>Design; Build; Operate</x:v>
      </x:c>
      <x:c r="K7" s="97" t="str">
        <x:v>API / Integration Flow</x:v>
      </x:c>
      <x:c r="L7" s="97" t="str">
        <x:v>Google Cloud / Hybrid</x:v>
      </x:c>
      <x:c r="M7" s="97" t="str">
        <x:v>Detailed</x:v>
      </x:c>
      <x:c r="N7" s="97" t="str">
        <x:v>Consumers/channels → edge/LB → Apigee/API Gateway → OAuth/IAM → services → data; quotas; policy; versioning; developer portal; logging/metrics; error handling.</x:v>
      </x:c>
      <x:c r="O7" s="97" t="str">
        <x:v>A single 'API Gateway' box with no lifecycle, policy, consumer or backend separation.</x:v>
      </x:c>
      <x:c r="P7" s="56" t="str">
        <x:v>P0</x:v>
      </x:c>
    </x:row>
    <x:row r="8" ht="78" customHeight="1">
      <x:c r="A8" s="57" t="n">
        <x:v>52</x:v>
      </x:c>
      <x:c r="B8" s="98" t="str">
        <x:v>NEW-PLAT-02_gke_enterprise_platform</x:v>
      </x:c>
      <x:c r="C8" s="98" t="str">
        <x:v>GKE / Kubernetes Enterprise Platform Architecture</x:v>
      </x:c>
      <x:c r="D8" s="98" t="str">
        <x:v>The library lacks a generic production Kubernetes platform. Agent runtime diagrams are not a substitute for GKE platform engineering.</x:v>
      </x:c>
      <x:c r="E8" s="98" t="str">
        <x:v>HLD</x:v>
      </x:c>
      <x:c r="F8" s="98" t="str">
        <x:v>LLD / TDD; Network Design; Security Architecture; Operations / SRE</x:v>
      </x:c>
      <x:c r="G8" s="98" t="str">
        <x:v>Cloud Platform &amp; Networking</x:v>
      </x:c>
      <x:c r="H8" s="98" t="str">
        <x:v>GKE; ingress; service mesh; workload identity; policy; autoscaling; registry; observability</x:v>
      </x:c>
      <x:c r="I8" s="98" t="str">
        <x:v>Deployment</x:v>
      </x:c>
      <x:c r="J8" s="98" t="str">
        <x:v>Design; Build; Operate</x:v>
      </x:c>
      <x:c r="K8" s="98" t="str">
        <x:v>Platform / Deployment Topology</x:v>
      </x:c>
      <x:c r="L8" s="98" t="str">
        <x:v>Google Cloud</x:v>
      </x:c>
      <x:c r="M8" s="98" t="str">
        <x:v>Detailed</x:v>
      </x:c>
      <x:c r="N8" s="98" t="str">
        <x:v>Fleet/cluster model; ingress/LB; namespaces; workloads; service-to-service networking; Workload Identity; secrets; Artifact Registry; policy; autoscaling; logging/monitoring; CI/CD integration.</x:v>
      </x:c>
      <x:c r="O8" s="98" t="str">
        <x:v>A generic Kubernetes icon cloud without security, networking, identity or operating model.</x:v>
      </x:c>
      <x:c r="P8" s="58" t="str">
        <x:v>P0</x:v>
      </x:c>
    </x:row>
    <x:row r="9" ht="78" customHeight="1">
      <x:c r="A9" s="57" t="n">
        <x:v>53</x:v>
      </x:c>
      <x:c r="B9" s="98" t="str">
        <x:v>NEW-REL-03_ha_multi_region_application</x:v>
      </x:c>
      <x:c r="C9" s="98" t="str">
        <x:v>Highly Available Multi-Region Application Architecture</x:v>
      </x:c>
      <x:c r="D9" s="98" t="str">
        <x:v>DR is not the same as normal high availability. Architects need a reusable application HA pattern independent of disaster-recovery runbooks.</x:v>
      </x:c>
      <x:c r="E9" s="98" t="str">
        <x:v>HA / DR Plan</x:v>
      </x:c>
      <x:c r="F9" s="98" t="str">
        <x:v>HLD; Network Design; Operations / SRE</x:v>
      </x:c>
      <x:c r="G9" s="98" t="str">
        <x:v>Reliability &amp; Operations</x:v>
      </x:c>
      <x:c r="H9" s="98" t="str">
        <x:v>Multi-region HA; load balancing; replication; health checks; failure domains</x:v>
      </x:c>
      <x:c r="I9" s="98" t="str">
        <x:v>Deployment</x:v>
      </x:c>
      <x:c r="J9" s="98" t="str">
        <x:v>Design; Operate</x:v>
      </x:c>
      <x:c r="K9" s="98" t="str">
        <x:v>HA / Multi-Region Topology</x:v>
      </x:c>
      <x:c r="L9" s="98" t="str">
        <x:v>Google Cloud</x:v>
      </x:c>
      <x:c r="M9" s="98" t="str">
        <x:v>Detailed</x:v>
      </x:c>
      <x:c r="N9" s="98" t="str">
        <x:v>Global/region-aware traffic management; redundant application tiers; data consistency model; health checking; regional failure; zonal failure; degraded mode; SLO impact.</x:v>
      </x:c>
      <x:c r="O9" s="98" t="str">
        <x:v>Failover-runbook content that duplicates #37 DR; this template should show steady-state HA.</x:v>
      </x:c>
      <x:c r="P9" s="58" t="str">
        <x:v>P0</x:v>
      </x:c>
    </x:row>
    <x:row r="10" ht="78" customHeight="1">
      <x:c r="A10" s="57" t="n">
        <x:v>54</x:v>
      </x:c>
      <x:c r="B10" s="98" t="str">
        <x:v>NEW-DAT-04_etl_elt_cdc_pipeline</x:v>
      </x:c>
      <x:c r="C10" s="98" t="str">
        <x:v>Enterprise ETL/ELT &amp; CDC Data Pipeline Architecture</x:v>
      </x:c>
      <x:c r="D10" s="98" t="str">
        <x:v>Lakehouse, streaming and multimodal templates do not provide a canonical batch/CDC enterprise data-integration pattern.</x:v>
      </x:c>
      <x:c r="E10" s="98" t="str">
        <x:v>Data Architecture</x:v>
      </x:c>
      <x:c r="F10" s="98" t="str">
        <x:v>HLD; LLD / TDD; Operations / SRE</x:v>
      </x:c>
      <x:c r="G10" s="98" t="str">
        <x:v>Data &amp; Analytics</x:v>
      </x:c>
      <x:c r="H10" s="98" t="str">
        <x:v>CDC; batch; ETL/ELT; orchestration; quality; warehouse/lake; lineage</x:v>
      </x:c>
      <x:c r="I10" s="98" t="str">
        <x:v>Logical</x:v>
      </x:c>
      <x:c r="J10" s="98" t="str">
        <x:v>Design; Build; Operate</x:v>
      </x:c>
      <x:c r="K10" s="98" t="str">
        <x:v>Data Pipeline / Data Flow</x:v>
      </x:c>
      <x:c r="L10" s="98" t="str">
        <x:v>Google Cloud / Hybrid</x:v>
      </x:c>
      <x:c r="M10" s="98" t="str">
        <x:v>Detailed</x:v>
      </x:c>
      <x:c r="N10" s="98" t="str">
        <x:v>Operational sources; CDC/batch ingestion; landing; transform; data quality; orchestration; curated stores/BigQuery; lineage/catalog; retry/quarantine; monitoring.</x:v>
      </x:c>
      <x:c r="O10" s="98" t="str">
        <x:v>A medallion-only diagram with no source-change capture, orchestration or error handling.</x:v>
      </x:c>
      <x:c r="P10" s="58" t="str">
        <x:v>P0</x:v>
      </x:c>
    </x:row>
    <x:row r="11" ht="78" customHeight="1">
      <x:c r="A11" s="57" t="n">
        <x:v>55</x:v>
      </x:c>
      <x:c r="B11" s="98" t="str">
        <x:v>NEW-SEC-05_workload_identity_authorization</x:v>
      </x:c>
      <x:c r="C11" s="98" t="str">
        <x:v>Workload Identity &amp; Service-to-Service Authorization Architecture</x:v>
      </x:c>
      <x:c r="D11" s="98" t="str">
        <x:v>Federated IAM/SSO is workforce-oriented. Machine identity, service authorization and token exchange are a distinct architecture problem.</x:v>
      </x:c>
      <x:c r="E11" s="98" t="str">
        <x:v>IAM Design</x:v>
      </x:c>
      <x:c r="F11" s="98" t="str">
        <x:v>Security Architecture; HLD; LLD / TDD</x:v>
      </x:c>
      <x:c r="G11" s="98" t="str">
        <x:v>Security &amp; Identity</x:v>
      </x:c>
      <x:c r="H11" s="98" t="str">
        <x:v>Workload Identity; service accounts; OAuth/OIDC; mTLS; authorization; secrets</x:v>
      </x:c>
      <x:c r="I11" s="98" t="str">
        <x:v>Logical</x:v>
      </x:c>
      <x:c r="J11" s="98" t="str">
        <x:v>Design; Build</x:v>
      </x:c>
      <x:c r="K11" s="98" t="str">
        <x:v>Identity / Authorization Flow</x:v>
      </x:c>
      <x:c r="L11" s="98" t="str">
        <x:v>Google Cloud / Hybrid</x:v>
      </x:c>
      <x:c r="M11" s="98" t="str">
        <x:v>Detailed</x:v>
      </x:c>
      <x:c r="N11" s="98" t="str">
        <x:v>Workload/service identities; token issuance/exchange; IAM authorization; Workload Identity Federation; service accounts; mTLS where used; secret/KMS boundary; audit.</x:v>
      </x:c>
      <x:c r="O11" s="98" t="str">
        <x:v>Reusing workforce SSO actors or treating service accounts as human users.</x:v>
      </x:c>
      <x:c r="P11" s="58" t="str">
        <x:v>P1</x:v>
      </x:c>
    </x:row>
    <x:row r="12" ht="78" customHeight="1">
      <x:c r="A12" s="57" t="n">
        <x:v>56</x:v>
      </x:c>
      <x:c r="B12" s="98" t="str">
        <x:v>NEW-NET-06_private_ingress_egress_connectivity</x:v>
      </x:c>
      <x:c r="C12" s="98" t="str">
        <x:v>Private Ingress, Egress &amp; Service Connectivity Architecture</x:v>
      </x:c>
      <x:c r="D12" s="98" t="str">
        <x:v>Landing zone and multi-cloud views are broad. Teams routinely need a focused private-access topology for ingress, egress and service connectivity.</x:v>
      </x:c>
      <x:c r="E12" s="98" t="str">
        <x:v>Network Design</x:v>
      </x:c>
      <x:c r="F12" s="98" t="str">
        <x:v>Security Architecture; HLD; LLD / TDD</x:v>
      </x:c>
      <x:c r="G12" s="98" t="str">
        <x:v>Cloud Platform &amp; Networking</x:v>
      </x:c>
      <x:c r="H12" s="98" t="str">
        <x:v>Ingress; egress; Cloud Armor; load balancing; NAT; PSC; DNS; firewall policy</x:v>
      </x:c>
      <x:c r="I12" s="98" t="str">
        <x:v>Deployment</x:v>
      </x:c>
      <x:c r="J12" s="98" t="str">
        <x:v>Design; Build</x:v>
      </x:c>
      <x:c r="K12" s="98" t="str">
        <x:v>Network / Security Topology</x:v>
      </x:c>
      <x:c r="L12" s="98" t="str">
        <x:v>Google Cloud</x:v>
      </x:c>
      <x:c r="M12" s="98" t="str">
        <x:v>Detailed</x:v>
      </x:c>
      <x:c r="N12" s="98" t="str">
        <x:v>Public/private ingress; Cloud Armor; Cloud Load Balancing; internal LB; Cloud NAT/egress controls; PSC; DNS; firewall policies; proxy controls; logging.</x:v>
      </x:c>
      <x:c r="O12" s="98" t="str">
        <x:v>Duplicating the entire landing zone or multi-cloud connectivity landscape.</x:v>
      </x:c>
      <x:c r="P12" s="58" t="str">
        <x:v>P1</x:v>
      </x:c>
    </x:row>
    <x:row r="13" ht="78" customHeight="1">
      <x:c r="A13" s="57" t="n">
        <x:v>57</x:v>
      </x:c>
      <x:c r="B13" s="98" t="str">
        <x:v>NEW-AI-07_enterprise_mlops_lifecycle</x:v>
      </x:c>
      <x:c r="C13" s="98" t="str">
        <x:v>Enterprise MLOps Lifecycle Architecture</x:v>
      </x:c>
      <x:c r="D13" s="98" t="str">
        <x:v>LLMOps prompt lifecycle does not cover conventional ML feature engineering, training, registry, deployment, monitoring and retraining.</x:v>
      </x:c>
      <x:c r="E13" s="98" t="str">
        <x:v>AI / Agentic Architecture</x:v>
      </x:c>
      <x:c r="F13" s="98" t="str">
        <x:v>HLD; LLD / TDD; Operations / SRE</x:v>
      </x:c>
      <x:c r="G13" s="98" t="str">
        <x:v>AI &amp; Agentic</x:v>
      </x:c>
      <x:c r="H13" s="98" t="str">
        <x:v>Feature engineering; training; model registry; deployment; monitoring; retraining</x:v>
      </x:c>
      <x:c r="I13" s="98" t="str">
        <x:v>Logical</x:v>
      </x:c>
      <x:c r="J13" s="98" t="str">
        <x:v>Build; Operate; Optimize</x:v>
      </x:c>
      <x:c r="K13" s="98" t="str">
        <x:v>MLOps Lifecycle / Pipeline</x:v>
      </x:c>
      <x:c r="L13" s="98" t="str">
        <x:v>Google Cloud</x:v>
      </x:c>
      <x:c r="M13" s="98" t="str">
        <x:v>Detailed</x:v>
      </x:c>
      <x:c r="N13" s="98" t="str">
        <x:v>Data/feature pipeline; training; experiment tracking; model registry; validation; deployment; online/batch inference; drift/performance monitoring; retraining trigger; approval.</x:v>
      </x:c>
      <x:c r="O13" s="98" t="str">
        <x:v>Prompt-only lifecycle or an LLM-specific flow that duplicates #35.</x:v>
      </x:c>
      <x:c r="P13" s="58" t="str">
        <x:v>P1</x:v>
      </x:c>
    </x:row>
    <x:row r="14" ht="78" customHeight="1">
      <x:c r="A14" s="57" t="n">
        <x:v>58</x:v>
      </x:c>
      <x:c r="B14" s="98" t="str">
        <x:v>NEW-AI-08_graphrag_knowledge_graph</x:v>
      </x:c>
      <x:c r="C14" s="98" t="str">
        <x:v>GraphRAG / Knowledge Graph Architecture</x:v>
      </x:c>
      <x:c r="D14" s="98" t="str">
        <x:v>GraphRAG has distinct extraction, entity/relation modeling, graph storage and hybrid retrieval behavior that standard vector RAG does not show.</x:v>
      </x:c>
      <x:c r="E14" s="98" t="str">
        <x:v>AI / Agentic Architecture</x:v>
      </x:c>
      <x:c r="F14" s="98" t="str">
        <x:v>Data Architecture; HLD; LLD / TDD</x:v>
      </x:c>
      <x:c r="G14" s="98" t="str">
        <x:v>AI &amp; Agentic</x:v>
      </x:c>
      <x:c r="H14" s="98" t="str">
        <x:v>Knowledge graph; entity/relation extraction; hybrid retrieval; grounded reasoning</x:v>
      </x:c>
      <x:c r="I14" s="98" t="str">
        <x:v>Logical</x:v>
      </x:c>
      <x:c r="J14" s="98" t="str">
        <x:v>Design; Build</x:v>
      </x:c>
      <x:c r="K14" s="98" t="str">
        <x:v>AI / Data Flow</x:v>
      </x:c>
      <x:c r="L14" s="98" t="str">
        <x:v>Google Cloud</x:v>
      </x:c>
      <x:c r="M14" s="98" t="str">
        <x:v>Detailed</x:v>
      </x:c>
      <x:c r="N14" s="98" t="str">
        <x:v>Sources; entity/relation extraction; graph store; vector index; hybrid query planner; retrieval; model/agent reasoning; provenance; evaluation.</x:v>
      </x:c>
      <x:c r="O14" s="98" t="str">
        <x:v>A standard RAG diagram with a graph icon added but no graph-specific ingest/query semantics.</x:v>
      </x:c>
      <x:c r="P14" s="58" t="str">
        <x:v>P1</x:v>
      </x:c>
    </x:row>
    <x:row r="15" ht="78" customHeight="1">
      <x:c r="A15" s="57" t="n">
        <x:v>59</x:v>
      </x:c>
      <x:c r="B15" s="98" t="str">
        <x:v>NEW-APP-09_saas_multi_tenant</x:v>
      </x:c>
      <x:c r="C15" s="98" t="str">
        <x:v>SaaS Multi-Tenant Application Architecture</x:v>
      </x:c>
      <x:c r="D15" s="98" t="str">
        <x:v>The existing multi-tenant AI template is AI-platform specific and does not cover full SaaS tenant routing, data partitioning and isolation.</x:v>
      </x:c>
      <x:c r="E15" s="98" t="str">
        <x:v>HLD</x:v>
      </x:c>
      <x:c r="F15" s="98" t="str">
        <x:v>LLD / TDD; Security Architecture; IAM Design</x:v>
      </x:c>
      <x:c r="G15" s="98" t="str">
        <x:v>Application &amp; Integration</x:v>
      </x:c>
      <x:c r="H15" s="98" t="str">
        <x:v>Tenant routing; isolation; data partitioning; quotas; encryption; noisy neighbor</x:v>
      </x:c>
      <x:c r="I15" s="98" t="str">
        <x:v>Deployment</x:v>
      </x:c>
      <x:c r="J15" s="98" t="str">
        <x:v>Design; Build</x:v>
      </x:c>
      <x:c r="K15" s="98" t="str">
        <x:v>SaaS / Tenant Topology</x:v>
      </x:c>
      <x:c r="L15" s="98" t="str">
        <x:v>Google Cloud</x:v>
      </x:c>
      <x:c r="M15" s="98" t="str">
        <x:v>Detailed</x:v>
      </x:c>
      <x:c r="N15" s="98" t="str">
        <x:v>Tenant identity; routing; application isolation model; database partition/schema/project choices; per-tenant keys/config; quotas; observability; admin plane; noisy-neighbor protection.</x:v>
      </x:c>
      <x:c r="O15" s="98" t="str">
        <x:v>AI-specific prompt/model configuration that belongs in #14.</x:v>
      </x:c>
      <x:c r="P15" s="58" t="str">
        <x:v>P2</x:v>
      </x:c>
    </x:row>
    <x:row r="16" ht="78" customHeight="1">
      <x:c r="A16" s="59" t="n">
        <x:v>60</x:v>
      </x:c>
      <x:c r="B16" s="99" t="str">
        <x:v>NEW-AI-10_intelligent_document_processing</x:v>
      </x:c>
      <x:c r="C16" s="99" t="str">
        <x:v>Intelligent Document Processing Platform</x:v>
      </x:c>
      <x:c r="D16" s="99" t="str">
        <x:v>Enterprise document processing has a distinct business workflow: ingestion, extraction, confidence, validation, HITL, indexing and retention.</x:v>
      </x:c>
      <x:c r="E16" s="99" t="str">
        <x:v>Data Architecture</x:v>
      </x:c>
      <x:c r="F16" s="99" t="str">
        <x:v>AI / Agentic Architecture; FDD; HLD</x:v>
      </x:c>
      <x:c r="G16" s="99" t="str">
        <x:v>Data &amp; Analytics</x:v>
      </x:c>
      <x:c r="H16" s="99" t="str">
        <x:v>Document ingestion; OCR/extraction; classification; validation; HITL; search/RAG</x:v>
      </x:c>
      <x:c r="I16" s="99" t="str">
        <x:v>Logical</x:v>
      </x:c>
      <x:c r="J16" s="99" t="str">
        <x:v>Design; Build; Operate</x:v>
      </x:c>
      <x:c r="K16" s="99" t="str">
        <x:v>Document Processing / Data Flow</x:v>
      </x:c>
      <x:c r="L16" s="99" t="str">
        <x:v>Google Cloud</x:v>
      </x:c>
      <x:c r="M16" s="99" t="str">
        <x:v>Detailed</x:v>
      </x:c>
      <x:c r="N16" s="99" t="str">
        <x:v>Document sources; intake; Document AI/OCR; classification/extraction; confidence thresholds; human validation; normalized data; storage/search/RAG; retention; PII controls; monitoring.</x:v>
      </x:c>
      <x:c r="O16" s="99" t="str">
        <x:v>A generic multimodal pipeline that does not show business validation and exception handling.</x:v>
      </x:c>
      <x:c r="P16" s="60" t="str">
        <x:v>P2</x:v>
      </x:c>
    </x:row>
  </x:sheetData>
  <x:mergeCells>
    <x:mergeCell ref="A1:P1"/>
    <x:mergeCell ref="A2:P2"/>
    <x:mergeCell ref="A3:P3"/>
    <x:mergeCell ref="A4:P4"/>
  </x:mergeCells>
  <x:conditionalFormatting sqref="P7:P16">
    <x:cfRule type="cellIs" dxfId="9" priority="1">
      <x:formula>"P0"</x:formula>
    </x:cfRule>
    <x:cfRule type="cellIs" dxfId="10" priority="2">
      <x:formula>"P1"</x:formula>
    </x:cfRule>
    <x:cfRule type="cellIs" dxfId="11" priority="3">
      <x:formula>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e6a211651d42b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6" hidden="0" customWidth="1"/>
    <x:col min="3" max="3" width="4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28" customHeight="1">
      <x:c r="A1" s="4" t="str">
        <x:v>Dimension 1 — Document / Deliverable Pack Mapping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4" customHeight="1">
      <x:c r="A2" s="11" t="str">
        <x:v>Self-contained many-to-many mapping of all 60 catalog items to the documents/deliverables in which each diagram is useful. This should drive 'Create by Deliverable' in the app.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</x:row>
    <x:row r="3" ht="28" customHeight="1">
      <x:c r="A3" s="18" t="str">
        <x:v>Legend: R = Required/core for that pack; Rec = Recommended; O = Optional/context-dependent; blank = normally not part of that pack.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</x:row>
    <x:row r="4" ht="28" customHeight="1">
      <x:c r="A4" s="18" t="str">
        <x:v>Important: document packs are not template folders. A single blueprint may appear in multiple packs; the blueprint itself should exist only once.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</x:row>
    <x:row r="6" ht="34" customHeight="1">
      <x:c r="A6" s="30" t="str">
        <x:v>Portfolio</x:v>
      </x:c>
      <x:c r="B6" s="135" t="str">
        <x:v>#</x:v>
      </x:c>
      <x:c r="C6" s="135" t="str">
        <x:v>Blueprint</x:v>
      </x:c>
      <x:c r="D6" s="135" t="str">
        <x:v>Executive Architecture Brief</x:v>
      </x:c>
      <x:c r="E6" s="135" t="str">
        <x:v>BRD</x:v>
      </x:c>
      <x:c r="F6" s="135" t="str">
        <x:v>PRD</x:v>
      </x:c>
      <x:c r="G6" s="135" t="str">
        <x:v>FDD</x:v>
      </x:c>
      <x:c r="H6" s="135" t="str">
        <x:v>HLD</x:v>
      </x:c>
      <x:c r="I6" s="135" t="str">
        <x:v>LLD / TDD</x:v>
      </x:c>
      <x:c r="J6" s="135" t="str">
        <x:v>Network Design</x:v>
      </x:c>
      <x:c r="K6" s="135" t="str">
        <x:v>Security Architecture</x:v>
      </x:c>
      <x:c r="L6" s="135" t="str">
        <x:v>IAM Design</x:v>
      </x:c>
      <x:c r="M6" s="135" t="str">
        <x:v>Data Architecture</x:v>
      </x:c>
      <x:c r="N6" s="135" t="str">
        <x:v>AI / Agentic Architecture</x:v>
      </x:c>
      <x:c r="O6" s="135" t="str">
        <x:v>HA / DR Plan</x:v>
      </x:c>
      <x:c r="P6" s="135" t="str">
        <x:v>Release / Cutover Plan</x:v>
      </x:c>
      <x:c r="Q6" s="135" t="str">
        <x:v>Operations / SRE</x:v>
      </x:c>
      <x:c r="R6" s="135" t="str">
        <x:v>COE / Operating Model</x:v>
      </x:c>
      <x:c r="S6" s="31" t="str">
        <x:v>Industry Solution Architecture</x:v>
      </x:c>
    </x:row>
    <x:row r="7" ht="34" customHeight="1">
      <x:c r="A7" s="55" t="str">
        <x:v>Existing</x:v>
      </x:c>
      <x:c r="B7" s="97" t="n">
        <x:v>1</x:v>
      </x:c>
      <x:c r="C7" s="97" t="str">
        <x:v>Legacy Data Dependency &amp; Migration Wave Map</x:v>
      </x:c>
      <x:c r="D7" s="97" t="str">
        <x:v>Rec</x:v>
      </x:c>
      <x:c r="E7" s="97" t="str">
        <x:v>O</x:v>
      </x:c>
      <x:c r="F7" s="97" t="str"/>
      <x:c r="G7" s="97" t="str"/>
      <x:c r="H7" s="97" t="str">
        <x:v>Rec</x:v>
      </x:c>
      <x:c r="I7" s="97" t="str"/>
      <x:c r="J7" s="97" t="str"/>
      <x:c r="K7" s="97" t="str"/>
      <x:c r="L7" s="97" t="str"/>
      <x:c r="M7" s="97" t="str"/>
      <x:c r="N7" s="97" t="str"/>
      <x:c r="O7" s="97" t="str"/>
      <x:c r="P7" s="97" t="str"/>
      <x:c r="Q7" s="97" t="str"/>
      <x:c r="R7" s="97" t="str"/>
      <x:c r="S7" s="56" t="str"/>
    </x:row>
    <x:row r="8" ht="34" customHeight="1">
      <x:c r="A8" s="57" t="str">
        <x:v>Existing</x:v>
      </x:c>
      <x:c r="B8" s="98" t="n">
        <x:v>2</x:v>
      </x:c>
      <x:c r="C8" s="98" t="str">
        <x:v>Hybrid / Strangler Fig Transition Architecture</x:v>
      </x:c>
      <x:c r="D8" s="98" t="str"/>
      <x:c r="E8" s="98" t="str"/>
      <x:c r="F8" s="98" t="str">
        <x:v>Rec</x:v>
      </x:c>
      <x:c r="G8" s="98" t="str"/>
      <x:c r="H8" s="98" t="str">
        <x:v>R</x:v>
      </x:c>
      <x:c r="I8" s="98" t="str">
        <x:v>O</x:v>
      </x:c>
      <x:c r="J8" s="98" t="str"/>
      <x:c r="K8" s="98" t="str"/>
      <x:c r="L8" s="98" t="str"/>
      <x:c r="M8" s="98" t="str"/>
      <x:c r="N8" s="98" t="str"/>
      <x:c r="O8" s="98" t="str"/>
      <x:c r="P8" s="98" t="str"/>
      <x:c r="Q8" s="98" t="str"/>
      <x:c r="R8" s="98" t="str"/>
      <x:c r="S8" s="58" t="str"/>
    </x:row>
    <x:row r="9" ht="34" customHeight="1">
      <x:c r="A9" s="57" t="str">
        <x:v>Existing</x:v>
      </x:c>
      <x:c r="B9" s="98" t="n">
        <x:v>3</x:v>
      </x:c>
      <x:c r="C9" s="98" t="str">
        <x:v>Enterprise AI Delivery Value Stream Map</x:v>
      </x:c>
      <x:c r="D9" s="98" t="str">
        <x:v>Rec</x:v>
      </x:c>
      <x:c r="E9" s="98" t="str">
        <x:v>R</x:v>
      </x:c>
      <x:c r="F9" s="98" t="str"/>
      <x:c r="G9" s="98" t="str"/>
      <x:c r="H9" s="98" t="str"/>
      <x:c r="I9" s="98" t="str"/>
      <x:c r="J9" s="98" t="str"/>
      <x:c r="K9" s="98" t="str"/>
      <x:c r="L9" s="98" t="str"/>
      <x:c r="M9" s="98" t="str"/>
      <x:c r="N9" s="98" t="str"/>
      <x:c r="O9" s="98" t="str"/>
      <x:c r="P9" s="98" t="str"/>
      <x:c r="Q9" s="98" t="str"/>
      <x:c r="R9" s="98" t="str">
        <x:v>Rec</x:v>
      </x:c>
      <x:c r="S9" s="58" t="str"/>
    </x:row>
    <x:row r="10" ht="34" customHeight="1">
      <x:c r="A10" s="57" t="str">
        <x:v>Existing</x:v>
      </x:c>
      <x:c r="B10" s="98" t="n">
        <x:v>4</x:v>
      </x:c>
      <x:c r="C10" s="98" t="str">
        <x:v>As-Is vs. To-Be Process &amp; Architecture Flow</x:v>
      </x:c>
      <x:c r="D10" s="98" t="str">
        <x:v>Rec</x:v>
      </x:c>
      <x:c r="E10" s="98" t="str">
        <x:v>R</x:v>
      </x:c>
      <x:c r="F10" s="98" t="str">
        <x:v>Rec</x:v>
      </x:c>
      <x:c r="G10" s="98" t="str"/>
      <x:c r="H10" s="98" t="str"/>
      <x:c r="I10" s="98" t="str"/>
      <x:c r="J10" s="98" t="str"/>
      <x:c r="K10" s="98" t="str"/>
      <x:c r="L10" s="98" t="str"/>
      <x:c r="M10" s="98" t="str"/>
      <x:c r="N10" s="98" t="str"/>
      <x:c r="O10" s="98" t="str"/>
      <x:c r="P10" s="98" t="str"/>
      <x:c r="Q10" s="98" t="str"/>
      <x:c r="R10" s="98" t="str"/>
      <x:c r="S10" s="58" t="str"/>
    </x:row>
    <x:row r="11" ht="34" customHeight="1">
      <x:c r="A11" s="57" t="str">
        <x:v>Existing</x:v>
      </x:c>
      <x:c r="B11" s="98" t="n">
        <x:v>5</x:v>
      </x:c>
      <x:c r="C11" s="98" t="str">
        <x:v>Google Cloud FinOps, Allocation &amp; Chargeback Architecture</x:v>
      </x:c>
      <x:c r="D11" s="98" t="str">
        <x:v>Rec</x:v>
      </x:c>
      <x:c r="E11" s="98" t="str"/>
      <x:c r="F11" s="98" t="str"/>
      <x:c r="G11" s="98" t="str"/>
      <x:c r="H11" s="98" t="str"/>
      <x:c r="I11" s="98" t="str"/>
      <x:c r="J11" s="98" t="str"/>
      <x:c r="K11" s="98" t="str"/>
      <x:c r="L11" s="98" t="str"/>
      <x:c r="M11" s="98" t="str"/>
      <x:c r="N11" s="98" t="str"/>
      <x:c r="O11" s="98" t="str"/>
      <x:c r="P11" s="98" t="str"/>
      <x:c r="Q11" s="98" t="str">
        <x:v>O</x:v>
      </x:c>
      <x:c r="R11" s="98" t="str">
        <x:v>R</x:v>
      </x:c>
      <x:c r="S11" s="58" t="str"/>
    </x:row>
    <x:row r="12" ht="34" customHeight="1">
      <x:c r="A12" s="57" t="str">
        <x:v>Existing</x:v>
      </x:c>
      <x:c r="B12" s="98" t="n">
        <x:v>6</x:v>
      </x:c>
      <x:c r="C12" s="98" t="str">
        <x:v>Enterprise Reference Architecture</x:v>
      </x:c>
      <x:c r="D12" s="98" t="str">
        <x:v>R</x:v>
      </x:c>
      <x:c r="E12" s="98" t="str"/>
      <x:c r="F12" s="98" t="str">
        <x:v>Rec</x:v>
      </x:c>
      <x:c r="G12" s="98" t="str"/>
      <x:c r="H12" s="98" t="str">
        <x:v>R</x:v>
      </x:c>
      <x:c r="I12" s="98" t="str"/>
      <x:c r="J12" s="98" t="str"/>
      <x:c r="K12" s="98" t="str"/>
      <x:c r="L12" s="98" t="str"/>
      <x:c r="M12" s="98" t="str"/>
      <x:c r="N12" s="98" t="str"/>
      <x:c r="O12" s="98" t="str"/>
      <x:c r="P12" s="98" t="str"/>
      <x:c r="Q12" s="98" t="str"/>
      <x:c r="R12" s="98" t="str"/>
      <x:c r="S12" s="58" t="str"/>
    </x:row>
    <x:row r="13" ht="34" customHeight="1">
      <x:c r="A13" s="57" t="str">
        <x:v>Existing</x:v>
      </x:c>
      <x:c r="B13" s="98" t="n">
        <x:v>7</x:v>
      </x:c>
      <x:c r="C13" s="98" t="str">
        <x:v>Agentic RAG &amp; Grounded AI Architecture</x:v>
      </x:c>
      <x:c r="D13" s="98" t="str"/>
      <x:c r="E13" s="98" t="str"/>
      <x:c r="F13" s="98" t="str"/>
      <x:c r="G13" s="98" t="str"/>
      <x:c r="H13" s="98" t="str">
        <x:v>R</x:v>
      </x:c>
      <x:c r="I13" s="98" t="str">
        <x:v>Rec</x:v>
      </x:c>
      <x:c r="J13" s="98" t="str"/>
      <x:c r="K13" s="98" t="str"/>
      <x:c r="L13" s="98" t="str"/>
      <x:c r="M13" s="98" t="str"/>
      <x:c r="N13" s="98" t="str">
        <x:v>R</x:v>
      </x:c>
      <x:c r="O13" s="98" t="str"/>
      <x:c r="P13" s="98" t="str"/>
      <x:c r="Q13" s="98" t="str"/>
      <x:c r="R13" s="98" t="str"/>
      <x:c r="S13" s="58" t="str"/>
    </x:row>
    <x:row r="14" ht="34" customHeight="1">
      <x:c r="A14" s="57" t="str">
        <x:v>Existing</x:v>
      </x:c>
      <x:c r="B14" s="98" t="n">
        <x:v>8</x:v>
      </x:c>
      <x:c r="C14" s="98" t="str">
        <x:v>Hub-and-Spoke Multi-Agent Orchestration</x:v>
      </x:c>
      <x:c r="D14" s="98" t="str"/>
      <x:c r="E14" s="98" t="str"/>
      <x:c r="F14" s="98" t="str"/>
      <x:c r="G14" s="98" t="str"/>
      <x:c r="H14" s="98" t="str">
        <x:v>R</x:v>
      </x:c>
      <x:c r="I14" s="98" t="str">
        <x:v>Rec</x:v>
      </x:c>
      <x:c r="J14" s="98" t="str"/>
      <x:c r="K14" s="98" t="str"/>
      <x:c r="L14" s="98" t="str"/>
      <x:c r="M14" s="98" t="str"/>
      <x:c r="N14" s="98" t="str">
        <x:v>R</x:v>
      </x:c>
      <x:c r="O14" s="98" t="str"/>
      <x:c r="P14" s="98" t="str"/>
      <x:c r="Q14" s="98" t="str"/>
      <x:c r="R14" s="98" t="str"/>
      <x:c r="S14" s="58" t="str"/>
    </x:row>
    <x:row r="15" ht="34" customHeight="1">
      <x:c r="A15" s="57" t="str">
        <x:v>Existing</x:v>
      </x:c>
      <x:c r="B15" s="98" t="n">
        <x:v>9</x:v>
      </x:c>
      <x:c r="C15" s="98" t="str">
        <x:v>Google Cloud Enterprise Data Lakehouse &amp; AI Consumption</x:v>
      </x:c>
      <x:c r="D15" s="98" t="str"/>
      <x:c r="E15" s="98" t="str"/>
      <x:c r="F15" s="98" t="str"/>
      <x:c r="G15" s="98" t="str"/>
      <x:c r="H15" s="98" t="str">
        <x:v>R</x:v>
      </x:c>
      <x:c r="I15" s="98" t="str"/>
      <x:c r="J15" s="98" t="str"/>
      <x:c r="K15" s="98" t="str"/>
      <x:c r="L15" s="98" t="str"/>
      <x:c r="M15" s="98" t="str">
        <x:v>R</x:v>
      </x:c>
      <x:c r="N15" s="98" t="str">
        <x:v>Rec</x:v>
      </x:c>
      <x:c r="O15" s="98" t="str"/>
      <x:c r="P15" s="98" t="str"/>
      <x:c r="Q15" s="98" t="str"/>
      <x:c r="R15" s="98" t="str"/>
      <x:c r="S15" s="58" t="str"/>
    </x:row>
    <x:row r="16" ht="34" customHeight="1">
      <x:c r="A16" s="57" t="str">
        <x:v>Existing</x:v>
      </x:c>
      <x:c r="B16" s="98" t="n">
        <x:v>10</x:v>
      </x:c>
      <x:c r="C16" s="98" t="str">
        <x:v>Dimensional Data Model - Crow's Foot ERD</x:v>
      </x:c>
      <x:c r="D16" s="98" t="str"/>
      <x:c r="E16" s="98" t="str"/>
      <x:c r="F16" s="98" t="str"/>
      <x:c r="G16" s="98" t="str"/>
      <x:c r="H16" s="98" t="str"/>
      <x:c r="I16" s="98" t="str">
        <x:v>R</x:v>
      </x:c>
      <x:c r="J16" s="98" t="str"/>
      <x:c r="K16" s="98" t="str"/>
      <x:c r="L16" s="98" t="str"/>
      <x:c r="M16" s="98" t="str">
        <x:v>R</x:v>
      </x:c>
      <x:c r="N16" s="98" t="str"/>
      <x:c r="O16" s="98" t="str"/>
      <x:c r="P16" s="98" t="str"/>
      <x:c r="Q16" s="98" t="str"/>
      <x:c r="R16" s="98" t="str"/>
      <x:c r="S16" s="58" t="str"/>
    </x:row>
    <x:row r="17" ht="34" customHeight="1">
      <x:c r="A17" s="57" t="str">
        <x:v>Existing</x:v>
      </x:c>
      <x:c r="B17" s="98" t="n">
        <x:v>11</x:v>
      </x:c>
      <x:c r="C17" s="98" t="str">
        <x:v>Unified Data Governance, Catalog &amp; Access Control</x:v>
      </x:c>
      <x:c r="D17" s="98" t="str"/>
      <x:c r="E17" s="98" t="str"/>
      <x:c r="F17" s="98" t="str"/>
      <x:c r="G17" s="98" t="str"/>
      <x:c r="H17" s="98" t="str">
        <x:v>Rec</x:v>
      </x:c>
      <x:c r="I17" s="98" t="str"/>
      <x:c r="J17" s="98" t="str"/>
      <x:c r="K17" s="98" t="str">
        <x:v>Rec</x:v>
      </x:c>
      <x:c r="L17" s="98" t="str"/>
      <x:c r="M17" s="98" t="str">
        <x:v>R</x:v>
      </x:c>
      <x:c r="N17" s="98" t="str"/>
      <x:c r="O17" s="98" t="str"/>
      <x:c r="P17" s="98" t="str"/>
      <x:c r="Q17" s="98" t="str"/>
      <x:c r="R17" s="98" t="str">
        <x:v>Rec</x:v>
      </x:c>
      <x:c r="S17" s="58" t="str"/>
    </x:row>
    <x:row r="18" ht="34" customHeight="1">
      <x:c r="A18" s="57" t="str">
        <x:v>Existing</x:v>
      </x:c>
      <x:c r="B18" s="98" t="n">
        <x:v>12</x:v>
      </x:c>
      <x:c r="C18" s="98" t="str">
        <x:v>Federated Workforce Identity, SSO &amp; IAM Architecture</x:v>
      </x:c>
      <x:c r="D18" s="98" t="str"/>
      <x:c r="E18" s="98" t="str"/>
      <x:c r="F18" s="98" t="str"/>
      <x:c r="G18" s="98" t="str"/>
      <x:c r="H18" s="98" t="str">
        <x:v>Rec</x:v>
      </x:c>
      <x:c r="I18" s="98" t="str"/>
      <x:c r="J18" s="98" t="str"/>
      <x:c r="K18" s="98" t="str">
        <x:v>R</x:v>
      </x:c>
      <x:c r="L18" s="98" t="str">
        <x:v>R</x:v>
      </x:c>
      <x:c r="M18" s="98" t="str"/>
      <x:c r="N18" s="98" t="str"/>
      <x:c r="O18" s="98" t="str"/>
      <x:c r="P18" s="98" t="str"/>
      <x:c r="Q18" s="98" t="str"/>
      <x:c r="R18" s="98" t="str"/>
      <x:c r="S18" s="58" t="str"/>
    </x:row>
    <x:row r="19" ht="34" customHeight="1">
      <x:c r="A19" s="57" t="str">
        <x:v>Existing</x:v>
      </x:c>
      <x:c r="B19" s="98" t="n">
        <x:v>13</x:v>
      </x:c>
      <x:c r="C19" s="98" t="str">
        <x:v>Enterprise Micro-Frontend Architecture</x:v>
      </x:c>
      <x:c r="D19" s="98" t="str"/>
      <x:c r="E19" s="98" t="str"/>
      <x:c r="F19" s="98" t="str">
        <x:v>Rec</x:v>
      </x:c>
      <x:c r="G19" s="98" t="str"/>
      <x:c r="H19" s="98" t="str">
        <x:v>R</x:v>
      </x:c>
      <x:c r="I19" s="98" t="str">
        <x:v>R</x:v>
      </x:c>
      <x:c r="J19" s="98" t="str"/>
      <x:c r="K19" s="98" t="str"/>
      <x:c r="L19" s="98" t="str"/>
      <x:c r="M19" s="98" t="str"/>
      <x:c r="N19" s="98" t="str"/>
      <x:c r="O19" s="98" t="str"/>
      <x:c r="P19" s="98" t="str"/>
      <x:c r="Q19" s="98" t="str"/>
      <x:c r="R19" s="98" t="str"/>
      <x:c r="S19" s="58" t="str"/>
    </x:row>
    <x:row r="20" ht="34" customHeight="1">
      <x:c r="A20" s="57" t="str">
        <x:v>Existing</x:v>
      </x:c>
      <x:c r="B20" s="98" t="n">
        <x:v>14</x:v>
      </x:c>
      <x:c r="C20" s="98" t="str">
        <x:v>Multi-Tenant AI Platform Isolation &amp; Configuration</x:v>
      </x:c>
      <x:c r="D20" s="98" t="str"/>
      <x:c r="E20" s="98" t="str"/>
      <x:c r="F20" s="98" t="str"/>
      <x:c r="G20" s="98" t="str"/>
      <x:c r="H20" s="98" t="str">
        <x:v>R</x:v>
      </x:c>
      <x:c r="I20" s="98" t="str">
        <x:v>Rec</x:v>
      </x:c>
      <x:c r="J20" s="98" t="str"/>
      <x:c r="K20" s="98" t="str">
        <x:v>Rec</x:v>
      </x:c>
      <x:c r="L20" s="98" t="str"/>
      <x:c r="M20" s="98" t="str"/>
      <x:c r="N20" s="98" t="str">
        <x:v>R</x:v>
      </x:c>
      <x:c r="O20" s="98" t="str"/>
      <x:c r="P20" s="98" t="str"/>
      <x:c r="Q20" s="98" t="str"/>
      <x:c r="R20" s="98" t="str"/>
      <x:c r="S20" s="58" t="str"/>
    </x:row>
    <x:row r="21" ht="34" customHeight="1">
      <x:c r="A21" s="57" t="str">
        <x:v>Existing</x:v>
      </x:c>
      <x:c r="B21" s="98" t="n">
        <x:v>15</x:v>
      </x:c>
      <x:c r="C21" s="98" t="str">
        <x:v>Multi-Agent Execution Sequence Diagram</x:v>
      </x:c>
      <x:c r="D21" s="98" t="str"/>
      <x:c r="E21" s="98" t="str"/>
      <x:c r="F21" s="98" t="str"/>
      <x:c r="G21" s="98" t="str">
        <x:v>R</x:v>
      </x:c>
      <x:c r="H21" s="98" t="str"/>
      <x:c r="I21" s="98" t="str">
        <x:v>R</x:v>
      </x:c>
      <x:c r="J21" s="98" t="str"/>
      <x:c r="K21" s="98" t="str"/>
      <x:c r="L21" s="98" t="str"/>
      <x:c r="M21" s="98" t="str"/>
      <x:c r="N21" s="98" t="str">
        <x:v>Rec</x:v>
      </x:c>
      <x:c r="O21" s="98" t="str"/>
      <x:c r="P21" s="98" t="str"/>
      <x:c r="Q21" s="98" t="str"/>
      <x:c r="R21" s="98" t="str"/>
      <x:c r="S21" s="58" t="str"/>
    </x:row>
    <x:row r="22" ht="34" customHeight="1">
      <x:c r="A22" s="57" t="str">
        <x:v>Existing</x:v>
      </x:c>
      <x:c r="B22" s="98" t="n">
        <x:v>16</x:v>
      </x:c>
      <x:c r="C22" s="98" t="str">
        <x:v>Secure Google Cloud Deployment &amp; Trust Boundary Topology</x:v>
      </x:c>
      <x:c r="D22" s="98" t="str"/>
      <x:c r="E22" s="98" t="str"/>
      <x:c r="F22" s="98" t="str"/>
      <x:c r="G22" s="98" t="str"/>
      <x:c r="H22" s="98" t="str">
        <x:v>R</x:v>
      </x:c>
      <x:c r="I22" s="98" t="str">
        <x:v>Rec</x:v>
      </x:c>
      <x:c r="J22" s="98" t="str">
        <x:v>Rec</x:v>
      </x:c>
      <x:c r="K22" s="98" t="str">
        <x:v>R</x:v>
      </x:c>
      <x:c r="L22" s="98" t="str"/>
      <x:c r="M22" s="98" t="str"/>
      <x:c r="N22" s="98" t="str"/>
      <x:c r="O22" s="98" t="str"/>
      <x:c r="P22" s="98" t="str"/>
      <x:c r="Q22" s="98" t="str"/>
      <x:c r="R22" s="98" t="str"/>
      <x:c r="S22" s="58" t="str"/>
    </x:row>
    <x:row r="23" ht="34" customHeight="1">
      <x:c r="A23" s="57" t="str">
        <x:v>Existing</x:v>
      </x:c>
      <x:c r="B23" s="98" t="n">
        <x:v>17</x:v>
      </x:c>
      <x:c r="C23" s="98" t="str">
        <x:v>Google Cloud Landing Zone &amp; Shared VPC Topology</x:v>
      </x:c>
      <x:c r="D23" s="98" t="str"/>
      <x:c r="E23" s="98" t="str"/>
      <x:c r="F23" s="98" t="str"/>
      <x:c r="G23" s="98" t="str"/>
      <x:c r="H23" s="98" t="str">
        <x:v>R</x:v>
      </x:c>
      <x:c r="I23" s="98" t="str"/>
      <x:c r="J23" s="98" t="str">
        <x:v>R</x:v>
      </x:c>
      <x:c r="K23" s="98" t="str">
        <x:v>Rec</x:v>
      </x:c>
      <x:c r="L23" s="98" t="str"/>
      <x:c r="M23" s="98" t="str"/>
      <x:c r="N23" s="98" t="str"/>
      <x:c r="O23" s="98" t="str"/>
      <x:c r="P23" s="98" t="str"/>
      <x:c r="Q23" s="98" t="str"/>
      <x:c r="R23" s="98" t="str"/>
      <x:c r="S23" s="58" t="str"/>
    </x:row>
    <x:row r="24" ht="34" customHeight="1">
      <x:c r="A24" s="57" t="str">
        <x:v>Existing</x:v>
      </x:c>
      <x:c r="B24" s="98" t="n">
        <x:v>18</x:v>
      </x:c>
      <x:c r="C24" s="98" t="str">
        <x:v>Data Residency, Sovereignty &amp; Administrative Access Architecture</x:v>
      </x:c>
      <x:c r="D24" s="98" t="str"/>
      <x:c r="E24" s="98" t="str"/>
      <x:c r="F24" s="98" t="str"/>
      <x:c r="G24" s="98" t="str"/>
      <x:c r="H24" s="98" t="str">
        <x:v>Rec</x:v>
      </x:c>
      <x:c r="I24" s="98" t="str"/>
      <x:c r="J24" s="98" t="str">
        <x:v>Rec</x:v>
      </x:c>
      <x:c r="K24" s="98" t="str">
        <x:v>R</x:v>
      </x:c>
      <x:c r="L24" s="98" t="str"/>
      <x:c r="M24" s="98" t="str"/>
      <x:c r="N24" s="98" t="str"/>
      <x:c r="O24" s="98" t="str"/>
      <x:c r="P24" s="98" t="str"/>
      <x:c r="Q24" s="98" t="str"/>
      <x:c r="R24" s="98" t="str"/>
      <x:c r="S24" s="58" t="str"/>
    </x:row>
    <x:row r="25" ht="34" customHeight="1">
      <x:c r="A25" s="57" t="str">
        <x:v>Existing</x:v>
      </x:c>
      <x:c r="B25" s="98" t="n">
        <x:v>19</x:v>
      </x:c>
      <x:c r="C25" s="98" t="str">
        <x:v>Enterprise Agent Runtime Platform on Google Cloud</x:v>
      </x:c>
      <x:c r="D25" s="98" t="str"/>
      <x:c r="E25" s="98" t="str"/>
      <x:c r="F25" s="98" t="str"/>
      <x:c r="G25" s="98" t="str"/>
      <x:c r="H25" s="98" t="str">
        <x:v>R</x:v>
      </x:c>
      <x:c r="I25" s="98" t="str">
        <x:v>Rec</x:v>
      </x:c>
      <x:c r="J25" s="98" t="str"/>
      <x:c r="K25" s="98" t="str"/>
      <x:c r="L25" s="98" t="str"/>
      <x:c r="M25" s="98" t="str"/>
      <x:c r="N25" s="98" t="str">
        <x:v>R</x:v>
      </x:c>
      <x:c r="O25" s="98" t="str"/>
      <x:c r="P25" s="98" t="str"/>
      <x:c r="Q25" s="98" t="str"/>
      <x:c r="R25" s="98" t="str"/>
      <x:c r="S25" s="58" t="str"/>
    </x:row>
    <x:row r="26" ht="34" customHeight="1">
      <x:c r="A26" s="57" t="str">
        <x:v>Existing</x:v>
      </x:c>
      <x:c r="B26" s="98" t="n">
        <x:v>20</x:v>
      </x:c>
      <x:c r="C26" s="98" t="str">
        <x:v>Hybrid Multi-Cloud Networking &amp; Gemini Enterprise</x:v>
      </x:c>
      <x:c r="D26" s="98" t="str"/>
      <x:c r="E26" s="98" t="str"/>
      <x:c r="F26" s="98" t="str"/>
      <x:c r="G26" s="98" t="str"/>
      <x:c r="H26" s="98" t="str">
        <x:v>R</x:v>
      </x:c>
      <x:c r="I26" s="98" t="str"/>
      <x:c r="J26" s="98" t="str">
        <x:v>R</x:v>
      </x:c>
      <x:c r="K26" s="98" t="str">
        <x:v>R</x:v>
      </x:c>
      <x:c r="L26" s="98" t="str">
        <x:v>Rec</x:v>
      </x:c>
      <x:c r="M26" s="98" t="str"/>
      <x:c r="N26" s="98" t="str"/>
      <x:c r="O26" s="98" t="str">
        <x:v>Rec</x:v>
      </x:c>
      <x:c r="P26" s="98" t="str"/>
      <x:c r="Q26" s="98" t="str"/>
      <x:c r="R26" s="98" t="str"/>
      <x:c r="S26" s="58" t="str"/>
    </x:row>
    <x:row r="27" ht="34" customHeight="1">
      <x:c r="A27" s="57" t="str">
        <x:v>Existing</x:v>
      </x:c>
      <x:c r="B27" s="98" t="n">
        <x:v>21</x:v>
      </x:c>
      <x:c r="C27" s="98" t="str">
        <x:v>Agentic AI Evaluation, Safety &amp; Optimization Platform</x:v>
      </x:c>
      <x:c r="D27" s="98" t="str"/>
      <x:c r="E27" s="98" t="str"/>
      <x:c r="F27" s="98" t="str"/>
      <x:c r="G27" s="98" t="str"/>
      <x:c r="H27" s="98" t="str"/>
      <x:c r="I27" s="98" t="str"/>
      <x:c r="J27" s="98" t="str"/>
      <x:c r="K27" s="98" t="str">
        <x:v>Rec</x:v>
      </x:c>
      <x:c r="L27" s="98" t="str"/>
      <x:c r="M27" s="98" t="str"/>
      <x:c r="N27" s="98" t="str">
        <x:v>R</x:v>
      </x:c>
      <x:c r="O27" s="98" t="str"/>
      <x:c r="P27" s="98" t="str"/>
      <x:c r="Q27" s="98" t="str"/>
      <x:c r="R27" s="98" t="str">
        <x:v>Rec</x:v>
      </x:c>
      <x:c r="S27" s="58" t="str"/>
    </x:row>
    <x:row r="28" ht="34" customHeight="1">
      <x:c r="A28" s="57" t="str">
        <x:v>Existing</x:v>
      </x:c>
      <x:c r="B28" s="98" t="n">
        <x:v>22</x:v>
      </x:c>
      <x:c r="C28" s="98" t="str">
        <x:v>AI Security, Risk &amp; Guardrail Architecture</x:v>
      </x:c>
      <x:c r="D28" s="98" t="str"/>
      <x:c r="E28" s="98" t="str"/>
      <x:c r="F28" s="98" t="str"/>
      <x:c r="G28" s="98" t="str"/>
      <x:c r="H28" s="98" t="str"/>
      <x:c r="I28" s="98" t="str"/>
      <x:c r="J28" s="98" t="str"/>
      <x:c r="K28" s="98" t="str">
        <x:v>R</x:v>
      </x:c>
      <x:c r="L28" s="98" t="str"/>
      <x:c r="M28" s="98" t="str"/>
      <x:c r="N28" s="98" t="str">
        <x:v>R</x:v>
      </x:c>
      <x:c r="O28" s="98" t="str"/>
      <x:c r="P28" s="98" t="str"/>
      <x:c r="Q28" s="98" t="str"/>
      <x:c r="R28" s="98" t="str">
        <x:v>Rec</x:v>
      </x:c>
      <x:c r="S28" s="58" t="str"/>
    </x:row>
    <x:row r="29" ht="34" customHeight="1">
      <x:c r="A29" s="57" t="str">
        <x:v>Existing</x:v>
      </x:c>
      <x:c r="B29" s="98" t="n">
        <x:v>23</x:v>
      </x:c>
      <x:c r="C29" s="98" t="str">
        <x:v>AI Agent Approval Workflow &amp; Human-in-the-Loop Governance</x:v>
      </x:c>
      <x:c r="D29" s="98" t="str"/>
      <x:c r="E29" s="98" t="str"/>
      <x:c r="F29" s="98" t="str"/>
      <x:c r="G29" s="98" t="str">
        <x:v>R</x:v>
      </x:c>
      <x:c r="H29" s="98" t="str"/>
      <x:c r="I29" s="98" t="str"/>
      <x:c r="J29" s="98" t="str"/>
      <x:c r="K29" s="98" t="str">
        <x:v>Rec</x:v>
      </x:c>
      <x:c r="L29" s="98" t="str"/>
      <x:c r="M29" s="98" t="str"/>
      <x:c r="N29" s="98" t="str">
        <x:v>Rec</x:v>
      </x:c>
      <x:c r="O29" s="98" t="str"/>
      <x:c r="P29" s="98" t="str"/>
      <x:c r="Q29" s="98" t="str"/>
      <x:c r="R29" s="98" t="str">
        <x:v>Rec</x:v>
      </x:c>
      <x:c r="S29" s="58" t="str"/>
    </x:row>
    <x:row r="30" ht="34" customHeight="1">
      <x:c r="A30" s="57" t="str">
        <x:v>Existing</x:v>
      </x:c>
      <x:c r="B30" s="98" t="n">
        <x:v>24</x:v>
      </x:c>
      <x:c r="C30" s="98" t="str">
        <x:v>Enterprise DevSecOps Software Supply Chain &amp; CI/CD</x:v>
      </x:c>
      <x:c r="D30" s="98" t="str"/>
      <x:c r="E30" s="98" t="str"/>
      <x:c r="F30" s="98" t="str"/>
      <x:c r="G30" s="98" t="str"/>
      <x:c r="H30" s="98" t="str">
        <x:v>Rec</x:v>
      </x:c>
      <x:c r="I30" s="98" t="str">
        <x:v>R</x:v>
      </x:c>
      <x:c r="J30" s="98" t="str"/>
      <x:c r="K30" s="98" t="str">
        <x:v>Rec</x:v>
      </x:c>
      <x:c r="L30" s="98" t="str"/>
      <x:c r="M30" s="98" t="str"/>
      <x:c r="N30" s="98" t="str"/>
      <x:c r="O30" s="98" t="str"/>
      <x:c r="P30" s="98" t="str">
        <x:v>R</x:v>
      </x:c>
      <x:c r="Q30" s="98" t="str"/>
      <x:c r="R30" s="98" t="str"/>
      <x:c r="S30" s="58" t="str"/>
    </x:row>
    <x:row r="31" ht="34" customHeight="1">
      <x:c r="A31" s="57" t="str">
        <x:v>Existing</x:v>
      </x:c>
      <x:c r="B31" s="98" t="n">
        <x:v>25</x:v>
      </x:c>
      <x:c r="C31" s="98" t="str">
        <x:v>Enterprise Event Mesh: Pub/Sub, Kafka &amp; Cross-Platform Integration</x:v>
      </x:c>
      <x:c r="D31" s="98" t="str"/>
      <x:c r="E31" s="98" t="str"/>
      <x:c r="F31" s="98" t="str"/>
      <x:c r="G31" s="98" t="str">
        <x:v>Rec</x:v>
      </x:c>
      <x:c r="H31" s="98" t="str">
        <x:v>R</x:v>
      </x:c>
      <x:c r="I31" s="98" t="str">
        <x:v>R</x:v>
      </x:c>
      <x:c r="J31" s="98" t="str"/>
      <x:c r="K31" s="98" t="str"/>
      <x:c r="L31" s="98" t="str"/>
      <x:c r="M31" s="98" t="str"/>
      <x:c r="N31" s="98" t="str"/>
      <x:c r="O31" s="98" t="str"/>
      <x:c r="P31" s="98" t="str"/>
      <x:c r="Q31" s="98" t="str"/>
      <x:c r="R31" s="98" t="str"/>
      <x:c r="S31" s="58" t="str"/>
    </x:row>
    <x:row r="32" ht="34" customHeight="1">
      <x:c r="A32" s="57" t="str">
        <x:v>Existing</x:v>
      </x:c>
      <x:c r="B32" s="98" t="n">
        <x:v>26</x:v>
      </x:c>
      <x:c r="C32" s="98" t="str">
        <x:v>Google Cloud Serverless Event-Driven Architecture</x:v>
      </x:c>
      <x:c r="D32" s="98" t="str"/>
      <x:c r="E32" s="98" t="str"/>
      <x:c r="F32" s="98" t="str"/>
      <x:c r="G32" s="98" t="str">
        <x:v>Rec</x:v>
      </x:c>
      <x:c r="H32" s="98" t="str">
        <x:v>R</x:v>
      </x:c>
      <x:c r="I32" s="98" t="str">
        <x:v>R</x:v>
      </x:c>
      <x:c r="J32" s="98" t="str"/>
      <x:c r="K32" s="98" t="str"/>
      <x:c r="L32" s="98" t="str"/>
      <x:c r="M32" s="98" t="str"/>
      <x:c r="N32" s="98" t="str"/>
      <x:c r="O32" s="98" t="str"/>
      <x:c r="P32" s="98" t="str"/>
      <x:c r="Q32" s="98" t="str"/>
      <x:c r="R32" s="98" t="str"/>
      <x:c r="S32" s="58" t="str"/>
    </x:row>
    <x:row r="33" ht="34" customHeight="1">
      <x:c r="A33" s="57" t="str">
        <x:v>Existing</x:v>
      </x:c>
      <x:c r="B33" s="98" t="n">
        <x:v>27</x:v>
      </x:c>
      <x:c r="C33" s="98" t="str">
        <x:v>Enterprise Multimodal Ingestion &amp; Content Understanding</x:v>
      </x:c>
      <x:c r="D33" s="98" t="str"/>
      <x:c r="E33" s="98" t="str"/>
      <x:c r="F33" s="98" t="str"/>
      <x:c r="G33" s="98" t="str"/>
      <x:c r="H33" s="98" t="str">
        <x:v>R</x:v>
      </x:c>
      <x:c r="I33" s="98" t="str"/>
      <x:c r="J33" s="98" t="str"/>
      <x:c r="K33" s="98" t="str"/>
      <x:c r="L33" s="98" t="str"/>
      <x:c r="M33" s="98" t="str">
        <x:v>R</x:v>
      </x:c>
      <x:c r="N33" s="98" t="str">
        <x:v>Rec</x:v>
      </x:c>
      <x:c r="O33" s="98" t="str"/>
      <x:c r="P33" s="98" t="str"/>
      <x:c r="Q33" s="98" t="str"/>
      <x:c r="R33" s="98" t="str"/>
      <x:c r="S33" s="58" t="str"/>
    </x:row>
    <x:row r="34" ht="34" customHeight="1">
      <x:c r="A34" s="57" t="str">
        <x:v>Existing</x:v>
      </x:c>
      <x:c r="B34" s="98" t="n">
        <x:v>28</x:v>
      </x:c>
      <x:c r="C34" s="98" t="str">
        <x:v>Real-Time Streaming Analytics Architecture</x:v>
      </x:c>
      <x:c r="D34" s="98" t="str"/>
      <x:c r="E34" s="98" t="str"/>
      <x:c r="F34" s="98" t="str"/>
      <x:c r="G34" s="98" t="str"/>
      <x:c r="H34" s="98" t="str">
        <x:v>R</x:v>
      </x:c>
      <x:c r="I34" s="98" t="str"/>
      <x:c r="J34" s="98" t="str"/>
      <x:c r="K34" s="98" t="str"/>
      <x:c r="L34" s="98" t="str"/>
      <x:c r="M34" s="98" t="str">
        <x:v>R</x:v>
      </x:c>
      <x:c r="N34" s="98" t="str"/>
      <x:c r="O34" s="98" t="str"/>
      <x:c r="P34" s="98" t="str"/>
      <x:c r="Q34" s="98" t="str">
        <x:v>Rec</x:v>
      </x:c>
      <x:c r="R34" s="98" t="str"/>
      <x:c r="S34" s="58" t="str"/>
    </x:row>
    <x:row r="35" ht="34" customHeight="1">
      <x:c r="A35" s="57" t="str">
        <x:v>Existing</x:v>
      </x:c>
      <x:c r="B35" s="98" t="n">
        <x:v>29</x:v>
      </x:c>
      <x:c r="C35" s="98" t="str">
        <x:v>6Rs Application Migration Disposition Matrix</x:v>
      </x:c>
      <x:c r="D35" s="98" t="str">
        <x:v>Rec</x:v>
      </x:c>
      <x:c r="E35" s="98" t="str">
        <x:v>Rec</x:v>
      </x:c>
      <x:c r="F35" s="98" t="str"/>
      <x:c r="G35" s="98" t="str"/>
      <x:c r="H35" s="98" t="str"/>
      <x:c r="I35" s="98" t="str"/>
      <x:c r="J35" s="98" t="str"/>
      <x:c r="K35" s="98" t="str"/>
      <x:c r="L35" s="98" t="str"/>
      <x:c r="M35" s="98" t="str"/>
      <x:c r="N35" s="98" t="str"/>
      <x:c r="O35" s="98" t="str"/>
      <x:c r="P35" s="98" t="str"/>
      <x:c r="Q35" s="98" t="str"/>
      <x:c r="R35" s="98" t="str"/>
      <x:c r="S35" s="58" t="str"/>
    </x:row>
    <x:row r="36" ht="34" customHeight="1">
      <x:c r="A36" s="57" t="str">
        <x:v>Existing</x:v>
      </x:c>
      <x:c r="B36" s="98" t="n">
        <x:v>30</x:v>
      </x:c>
      <x:c r="C36" s="98" t="str">
        <x:v>Enterprise SRE, Observability &amp; Reliability Architecture</x:v>
      </x:c>
      <x:c r="D36" s="98" t="str"/>
      <x:c r="E36" s="98" t="str"/>
      <x:c r="F36" s="98" t="str"/>
      <x:c r="G36" s="98" t="str"/>
      <x:c r="H36" s="98" t="str">
        <x:v>Rec</x:v>
      </x:c>
      <x:c r="I36" s="98" t="str"/>
      <x:c r="J36" s="98" t="str"/>
      <x:c r="K36" s="98" t="str"/>
      <x:c r="L36" s="98" t="str"/>
      <x:c r="M36" s="98" t="str"/>
      <x:c r="N36" s="98" t="str"/>
      <x:c r="O36" s="98" t="str">
        <x:v>Rec</x:v>
      </x:c>
      <x:c r="P36" s="98" t="str"/>
      <x:c r="Q36" s="98" t="str">
        <x:v>R</x:v>
      </x:c>
      <x:c r="R36" s="98" t="str"/>
      <x:c r="S36" s="58" t="str"/>
    </x:row>
    <x:row r="37" ht="34" customHeight="1">
      <x:c r="A37" s="57" t="str">
        <x:v>Existing</x:v>
      </x:c>
      <x:c r="B37" s="98" t="n">
        <x:v>31</x:v>
      </x:c>
      <x:c r="C37" s="98" t="str">
        <x:v>Go-Live Cutover &amp; War Room Runbook</x:v>
      </x:c>
      <x:c r="D37" s="98" t="str"/>
      <x:c r="E37" s="98" t="str"/>
      <x:c r="F37" s="98" t="str"/>
      <x:c r="G37" s="98" t="str"/>
      <x:c r="H37" s="98" t="str"/>
      <x:c r="I37" s="98" t="str"/>
      <x:c r="J37" s="98" t="str"/>
      <x:c r="K37" s="98" t="str"/>
      <x:c r="L37" s="98" t="str"/>
      <x:c r="M37" s="98" t="str"/>
      <x:c r="N37" s="98" t="str"/>
      <x:c r="O37" s="98" t="str">
        <x:v>Rec</x:v>
      </x:c>
      <x:c r="P37" s="98" t="str">
        <x:v>R</x:v>
      </x:c>
      <x:c r="Q37" s="98" t="str">
        <x:v>Rec</x:v>
      </x:c>
      <x:c r="R37" s="98" t="str"/>
      <x:c r="S37" s="58" t="str"/>
    </x:row>
    <x:row r="38" ht="34" customHeight="1">
      <x:c r="A38" s="57" t="str">
        <x:v>Existing</x:v>
      </x:c>
      <x:c r="B38" s="98" t="n">
        <x:v>32</x:v>
      </x:c>
      <x:c r="C38" s="98" t="str">
        <x:v>Incident Triage, Escalation &amp; SRE Response Swimlane</x:v>
      </x:c>
      <x:c r="D38" s="98" t="str"/>
      <x:c r="E38" s="98" t="str"/>
      <x:c r="F38" s="98" t="str"/>
      <x:c r="G38" s="98" t="str">
        <x:v>Rec</x:v>
      </x:c>
      <x:c r="H38" s="98" t="str"/>
      <x:c r="I38" s="98" t="str"/>
      <x:c r="J38" s="98" t="str"/>
      <x:c r="K38" s="98" t="str"/>
      <x:c r="L38" s="98" t="str"/>
      <x:c r="M38" s="98" t="str"/>
      <x:c r="N38" s="98" t="str"/>
      <x:c r="O38" s="98" t="str"/>
      <x:c r="P38" s="98" t="str">
        <x:v>Rec</x:v>
      </x:c>
      <x:c r="Q38" s="98" t="str">
        <x:v>R</x:v>
      </x:c>
      <x:c r="R38" s="98" t="str"/>
      <x:c r="S38" s="58" t="str"/>
    </x:row>
    <x:row r="39" ht="34" customHeight="1">
      <x:c r="A39" s="57" t="str">
        <x:v>Existing</x:v>
      </x:c>
      <x:c r="B39" s="98" t="n">
        <x:v>33</x:v>
      </x:c>
      <x:c r="C39" s="98" t="str">
        <x:v>LLM Capacity, Quota &amp; Provisioned Throughput Architecture</x:v>
      </x:c>
      <x:c r="D39" s="98" t="str"/>
      <x:c r="E39" s="98" t="str"/>
      <x:c r="F39" s="98" t="str"/>
      <x:c r="G39" s="98" t="str"/>
      <x:c r="H39" s="98" t="str">
        <x:v>Rec</x:v>
      </x:c>
      <x:c r="I39" s="98" t="str"/>
      <x:c r="J39" s="98" t="str"/>
      <x:c r="K39" s="98" t="str"/>
      <x:c r="L39" s="98" t="str"/>
      <x:c r="M39" s="98" t="str"/>
      <x:c r="N39" s="98" t="str">
        <x:v>R</x:v>
      </x:c>
      <x:c r="O39" s="98" t="str"/>
      <x:c r="P39" s="98" t="str"/>
      <x:c r="Q39" s="98" t="str">
        <x:v>R</x:v>
      </x:c>
      <x:c r="R39" s="98" t="str"/>
      <x:c r="S39" s="58" t="str"/>
    </x:row>
    <x:row r="40" ht="34" customHeight="1">
      <x:c r="A40" s="57" t="str">
        <x:v>Existing</x:v>
      </x:c>
      <x:c r="B40" s="98" t="n">
        <x:v>34</x:v>
      </x:c>
      <x:c r="C40" s="98" t="str">
        <x:v>Enterprise AI Center of Excellence Operating Model</x:v>
      </x:c>
      <x:c r="D40" s="98" t="str">
        <x:v>Rec</x:v>
      </x:c>
      <x:c r="E40" s="98" t="str"/>
      <x:c r="F40" s="98" t="str"/>
      <x:c r="G40" s="98" t="str"/>
      <x:c r="H40" s="98" t="str"/>
      <x:c r="I40" s="98" t="str"/>
      <x:c r="J40" s="98" t="str"/>
      <x:c r="K40" s="98" t="str"/>
      <x:c r="L40" s="98" t="str"/>
      <x:c r="M40" s="98" t="str"/>
      <x:c r="N40" s="98" t="str"/>
      <x:c r="O40" s="98" t="str"/>
      <x:c r="P40" s="98" t="str"/>
      <x:c r="Q40" s="98" t="str"/>
      <x:c r="R40" s="98" t="str">
        <x:v>R</x:v>
      </x:c>
      <x:c r="S40" s="58" t="str"/>
    </x:row>
    <x:row r="41" ht="34" customHeight="1">
      <x:c r="A41" s="57" t="str">
        <x:v>Existing</x:v>
      </x:c>
      <x:c r="B41" s="98" t="n">
        <x:v>35</x:v>
      </x:c>
      <x:c r="C41" s="98" t="str">
        <x:v>LLMOps Prompt, Evaluation &amp; Release Lifecycle</x:v>
      </x:c>
      <x:c r="D41" s="98" t="str"/>
      <x:c r="E41" s="98" t="str"/>
      <x:c r="F41" s="98" t="str"/>
      <x:c r="G41" s="98" t="str"/>
      <x:c r="H41" s="98" t="str"/>
      <x:c r="I41" s="98" t="str">
        <x:v>Rec</x:v>
      </x:c>
      <x:c r="J41" s="98" t="str"/>
      <x:c r="K41" s="98" t="str"/>
      <x:c r="L41" s="98" t="str"/>
      <x:c r="M41" s="98" t="str"/>
      <x:c r="N41" s="98" t="str">
        <x:v>R</x:v>
      </x:c>
      <x:c r="O41" s="98" t="str"/>
      <x:c r="P41" s="98" t="str"/>
      <x:c r="Q41" s="98" t="str">
        <x:v>Rec</x:v>
      </x:c>
      <x:c r="R41" s="98" t="str"/>
      <x:c r="S41" s="58" t="str"/>
    </x:row>
    <x:row r="42" ht="34" customHeight="1">
      <x:c r="A42" s="57" t="str">
        <x:v>Existing</x:v>
      </x:c>
      <x:c r="B42" s="98" t="n">
        <x:v>36</x:v>
      </x:c>
      <x:c r="C42" s="98" t="str">
        <x:v>DataOps, Data Quality &amp; Anomaly Detection Architecture</x:v>
      </x:c>
      <x:c r="D42" s="98" t="str"/>
      <x:c r="E42" s="98" t="str"/>
      <x:c r="F42" s="98" t="str"/>
      <x:c r="G42" s="98" t="str"/>
      <x:c r="H42" s="98" t="str"/>
      <x:c r="I42" s="98" t="str"/>
      <x:c r="J42" s="98" t="str"/>
      <x:c r="K42" s="98" t="str"/>
      <x:c r="L42" s="98" t="str"/>
      <x:c r="M42" s="98" t="str">
        <x:v>R</x:v>
      </x:c>
      <x:c r="N42" s="98" t="str"/>
      <x:c r="O42" s="98" t="str"/>
      <x:c r="P42" s="98" t="str"/>
      <x:c r="Q42" s="98" t="str">
        <x:v>Rec</x:v>
      </x:c>
      <x:c r="R42" s="98" t="str"/>
      <x:c r="S42" s="58" t="str"/>
    </x:row>
    <x:row r="43" ht="34" customHeight="1">
      <x:c r="A43" s="57" t="str">
        <x:v>Existing</x:v>
      </x:c>
      <x:c r="B43" s="98" t="n">
        <x:v>37</x:v>
      </x:c>
      <x:c r="C43" s="98" t="str">
        <x:v>Multi-Region Active-Passive Disaster Recovery</x:v>
      </x:c>
      <x:c r="D43" s="98" t="str"/>
      <x:c r="E43" s="98" t="str"/>
      <x:c r="F43" s="98" t="str"/>
      <x:c r="G43" s="98" t="str"/>
      <x:c r="H43" s="98" t="str">
        <x:v>R</x:v>
      </x:c>
      <x:c r="I43" s="98" t="str"/>
      <x:c r="J43" s="98" t="str">
        <x:v>Rec</x:v>
      </x:c>
      <x:c r="K43" s="98" t="str"/>
      <x:c r="L43" s="98" t="str"/>
      <x:c r="M43" s="98" t="str"/>
      <x:c r="N43" s="98" t="str"/>
      <x:c r="O43" s="98" t="str">
        <x:v>R</x:v>
      </x:c>
      <x:c r="P43" s="98" t="str">
        <x:v>Rec</x:v>
      </x:c>
      <x:c r="Q43" s="98" t="str">
        <x:v>Rec</x:v>
      </x:c>
      <x:c r="R43" s="98" t="str"/>
      <x:c r="S43" s="58" t="str"/>
    </x:row>
    <x:row r="44" ht="34" customHeight="1">
      <x:c r="A44" s="57" t="str">
        <x:v>Existing</x:v>
      </x:c>
      <x:c r="B44" s="98" t="n">
        <x:v>38</x:v>
      </x:c>
      <x:c r="C44" s="98" t="str">
        <x:v>AI-Assisted Personalized Financial Advising Architecture</x:v>
      </x:c>
      <x:c r="D44" s="98" t="str"/>
      <x:c r="E44" s="98" t="str"/>
      <x:c r="F44" s="98" t="str"/>
      <x:c r="G44" s="98" t="str"/>
      <x:c r="H44" s="98" t="str">
        <x:v>R</x:v>
      </x:c>
      <x:c r="I44" s="98" t="str"/>
      <x:c r="J44" s="98" t="str"/>
      <x:c r="K44" s="98" t="str">
        <x:v>Rec</x:v>
      </x:c>
      <x:c r="L44" s="98" t="str"/>
      <x:c r="M44" s="98" t="str"/>
      <x:c r="N44" s="98" t="str">
        <x:v>Rec</x:v>
      </x:c>
      <x:c r="O44" s="98" t="str"/>
      <x:c r="P44" s="98" t="str"/>
      <x:c r="Q44" s="98" t="str"/>
      <x:c r="R44" s="98" t="str"/>
      <x:c r="S44" s="58" t="str">
        <x:v>R</x:v>
      </x:c>
    </x:row>
    <x:row r="45" ht="34" customHeight="1">
      <x:c r="A45" s="57" t="str">
        <x:v>Existing</x:v>
      </x:c>
      <x:c r="B45" s="98" t="n">
        <x:v>39</x:v>
      </x:c>
      <x:c r="C45" s="98" t="str">
        <x:v>Equipment Predictive Maintenance &amp; Closed-Loop Service Architecture</x:v>
      </x:c>
      <x:c r="D45" s="98" t="str"/>
      <x:c r="E45" s="98" t="str"/>
      <x:c r="F45" s="98" t="str"/>
      <x:c r="G45" s="98" t="str"/>
      <x:c r="H45" s="98" t="str">
        <x:v>R</x:v>
      </x:c>
      <x:c r="I45" s="98" t="str"/>
      <x:c r="J45" s="98" t="str"/>
      <x:c r="K45" s="98" t="str"/>
      <x:c r="L45" s="98" t="str"/>
      <x:c r="M45" s="98" t="str">
        <x:v>Rec</x:v>
      </x:c>
      <x:c r="N45" s="98" t="str">
        <x:v>Rec</x:v>
      </x:c>
      <x:c r="O45" s="98" t="str"/>
      <x:c r="P45" s="98" t="str"/>
      <x:c r="Q45" s="98" t="str"/>
      <x:c r="R45" s="98" t="str"/>
      <x:c r="S45" s="58" t="str">
        <x:v>R</x:v>
      </x:c>
    </x:row>
    <x:row r="46" ht="34" customHeight="1">
      <x:c r="A46" s="57" t="str">
        <x:v>Existing</x:v>
      </x:c>
      <x:c r="B46" s="98" t="n">
        <x:v>40</x:v>
      </x:c>
      <x:c r="C46" s="98" t="str">
        <x:v>Pharma Genomics &amp; AI-Assisted Drug Discovery Architecture</x:v>
      </x:c>
      <x:c r="D46" s="98" t="str"/>
      <x:c r="E46" s="98" t="str"/>
      <x:c r="F46" s="98" t="str"/>
      <x:c r="G46" s="98" t="str"/>
      <x:c r="H46" s="98" t="str">
        <x:v>R</x:v>
      </x:c>
      <x:c r="I46" s="98" t="str"/>
      <x:c r="J46" s="98" t="str"/>
      <x:c r="K46" s="98" t="str">
        <x:v>Rec</x:v>
      </x:c>
      <x:c r="L46" s="98" t="str"/>
      <x:c r="M46" s="98" t="str">
        <x:v>R</x:v>
      </x:c>
      <x:c r="N46" s="98" t="str">
        <x:v>Rec</x:v>
      </x:c>
      <x:c r="O46" s="98" t="str"/>
      <x:c r="P46" s="98" t="str"/>
      <x:c r="Q46" s="98" t="str"/>
      <x:c r="R46" s="98" t="str"/>
      <x:c r="S46" s="58" t="str">
        <x:v>R</x:v>
      </x:c>
    </x:row>
    <x:row r="47" ht="34" customHeight="1">
      <x:c r="A47" s="57" t="str">
        <x:v>Existing</x:v>
      </x:c>
      <x:c r="B47" s="98" t="n">
        <x:v>41</x:v>
      </x:c>
      <x:c r="C47" s="98" t="str">
        <x:v>Omnichannel Intelligent Commerce &amp; Retail AI Architecture</x:v>
      </x:c>
      <x:c r="D47" s="98" t="str"/>
      <x:c r="E47" s="98" t="str"/>
      <x:c r="F47" s="98" t="str"/>
      <x:c r="G47" s="98" t="str"/>
      <x:c r="H47" s="98" t="str">
        <x:v>R</x:v>
      </x:c>
      <x:c r="I47" s="98" t="str"/>
      <x:c r="J47" s="98" t="str"/>
      <x:c r="K47" s="98" t="str"/>
      <x:c r="L47" s="98" t="str"/>
      <x:c r="M47" s="98" t="str">
        <x:v>Rec</x:v>
      </x:c>
      <x:c r="N47" s="98" t="str">
        <x:v>Rec</x:v>
      </x:c>
      <x:c r="O47" s="98" t="str"/>
      <x:c r="P47" s="98" t="str"/>
      <x:c r="Q47" s="98" t="str"/>
      <x:c r="R47" s="98" t="str"/>
      <x:c r="S47" s="58" t="str">
        <x:v>R</x:v>
      </x:c>
    </x:row>
    <x:row r="48" ht="34" customHeight="1">
      <x:c r="A48" s="57" t="str">
        <x:v>Existing</x:v>
      </x:c>
      <x:c r="B48" s="98" t="n">
        <x:v>42</x:v>
      </x:c>
      <x:c r="C48" s="98" t="str">
        <x:v>Smart Factory Digital Twin &amp; Edge-to-Cloud Operations Platform</x:v>
      </x:c>
      <x:c r="D48" s="98" t="str"/>
      <x:c r="E48" s="98" t="str"/>
      <x:c r="F48" s="98" t="str"/>
      <x:c r="G48" s="98" t="str"/>
      <x:c r="H48" s="98" t="str">
        <x:v>R</x:v>
      </x:c>
      <x:c r="I48" s="98" t="str"/>
      <x:c r="J48" s="98" t="str">
        <x:v>Rec</x:v>
      </x:c>
      <x:c r="K48" s="98" t="str"/>
      <x:c r="L48" s="98" t="str"/>
      <x:c r="M48" s="98" t="str">
        <x:v>Rec</x:v>
      </x:c>
      <x:c r="N48" s="98" t="str"/>
      <x:c r="O48" s="98" t="str"/>
      <x:c r="P48" s="98" t="str"/>
      <x:c r="Q48" s="98" t="str"/>
      <x:c r="R48" s="98" t="str"/>
      <x:c r="S48" s="58" t="str">
        <x:v>R</x:v>
      </x:c>
    </x:row>
    <x:row r="49" ht="34" customHeight="1">
      <x:c r="A49" s="57" t="str">
        <x:v>Existing</x:v>
      </x:c>
      <x:c r="B49" s="98" t="n">
        <x:v>43</x:v>
      </x:c>
      <x:c r="C49" s="98" t="str">
        <x:v>Workforce AI &amp; People Intelligence Platform</x:v>
      </x:c>
      <x:c r="D49" s="98" t="str"/>
      <x:c r="E49" s="98" t="str"/>
      <x:c r="F49" s="98" t="str"/>
      <x:c r="G49" s="98" t="str"/>
      <x:c r="H49" s="98" t="str">
        <x:v>R</x:v>
      </x:c>
      <x:c r="I49" s="98" t="str"/>
      <x:c r="J49" s="98" t="str"/>
      <x:c r="K49" s="98" t="str">
        <x:v>Rec</x:v>
      </x:c>
      <x:c r="L49" s="98" t="str"/>
      <x:c r="M49" s="98" t="str"/>
      <x:c r="N49" s="98" t="str">
        <x:v>Rec</x:v>
      </x:c>
      <x:c r="O49" s="98" t="str"/>
      <x:c r="P49" s="98" t="str"/>
      <x:c r="Q49" s="98" t="str"/>
      <x:c r="R49" s="98" t="str"/>
      <x:c r="S49" s="58" t="str">
        <x:v>R</x:v>
      </x:c>
    </x:row>
    <x:row r="50" ht="34" customHeight="1">
      <x:c r="A50" s="57" t="str">
        <x:v>Existing</x:v>
      </x:c>
      <x:c r="B50" s="98" t="n">
        <x:v>44</x:v>
      </x:c>
      <x:c r="C50" s="98" t="str">
        <x:v>Healthcare Interoperability, FHIR/HL7 &amp; Clinical AI Platform</x:v>
      </x:c>
      <x:c r="D50" s="98" t="str"/>
      <x:c r="E50" s="98" t="str"/>
      <x:c r="F50" s="98" t="str"/>
      <x:c r="G50" s="98" t="str"/>
      <x:c r="H50" s="98" t="str">
        <x:v>R</x:v>
      </x:c>
      <x:c r="I50" s="98" t="str"/>
      <x:c r="J50" s="98" t="str"/>
      <x:c r="K50" s="98" t="str">
        <x:v>Rec</x:v>
      </x:c>
      <x:c r="L50" s="98" t="str"/>
      <x:c r="M50" s="98" t="str">
        <x:v>R</x:v>
      </x:c>
      <x:c r="N50" s="98" t="str">
        <x:v>Rec</x:v>
      </x:c>
      <x:c r="O50" s="98" t="str"/>
      <x:c r="P50" s="98" t="str"/>
      <x:c r="Q50" s="98" t="str"/>
      <x:c r="R50" s="98" t="str"/>
      <x:c r="S50" s="58" t="str">
        <x:v>R</x:v>
      </x:c>
    </x:row>
    <x:row r="51" ht="34" customHeight="1">
      <x:c r="A51" s="57" t="str">
        <x:v>Existing</x:v>
      </x:c>
      <x:c r="B51" s="98" t="n">
        <x:v>45</x:v>
      </x:c>
      <x:c r="C51" s="98" t="str">
        <x:v>C4 System Context &amp; Container Model</x:v>
      </x:c>
      <x:c r="D51" s="98" t="str"/>
      <x:c r="E51" s="98" t="str"/>
      <x:c r="F51" s="98" t="str">
        <x:v>Rec</x:v>
      </x:c>
      <x:c r="G51" s="98" t="str"/>
      <x:c r="H51" s="98" t="str">
        <x:v>R</x:v>
      </x:c>
      <x:c r="I51" s="98" t="str">
        <x:v>Rec</x:v>
      </x:c>
      <x:c r="J51" s="98" t="str"/>
      <x:c r="K51" s="98" t="str"/>
      <x:c r="L51" s="98" t="str"/>
      <x:c r="M51" s="98" t="str"/>
      <x:c r="N51" s="98" t="str"/>
      <x:c r="O51" s="98" t="str"/>
      <x:c r="P51" s="98" t="str"/>
      <x:c r="Q51" s="98" t="str"/>
      <x:c r="R51" s="98" t="str"/>
      <x:c r="S51" s="58" t="str"/>
    </x:row>
    <x:row r="52" ht="34" customHeight="1">
      <x:c r="A52" s="57" t="str">
        <x:v>Existing</x:v>
      </x:c>
      <x:c r="B52" s="98" t="n">
        <x:v>46</x:v>
      </x:c>
      <x:c r="C52" s="98" t="str">
        <x:v>C4 Level 3 Component &amp; Microservice LLD</x:v>
      </x:c>
      <x:c r="D52" s="98" t="str"/>
      <x:c r="E52" s="98" t="str"/>
      <x:c r="F52" s="98" t="str"/>
      <x:c r="G52" s="98" t="str"/>
      <x:c r="H52" s="98" t="str">
        <x:v>Rec</x:v>
      </x:c>
      <x:c r="I52" s="98" t="str">
        <x:v>R</x:v>
      </x:c>
      <x:c r="J52" s="98" t="str"/>
      <x:c r="K52" s="98" t="str"/>
      <x:c r="L52" s="98" t="str"/>
      <x:c r="M52" s="98" t="str"/>
      <x:c r="N52" s="98" t="str"/>
      <x:c r="O52" s="98" t="str"/>
      <x:c r="P52" s="98" t="str"/>
      <x:c r="Q52" s="98" t="str"/>
      <x:c r="R52" s="98" t="str"/>
      <x:c r="S52" s="58" t="str"/>
    </x:row>
    <x:row r="53" ht="34" customHeight="1">
      <x:c r="A53" s="57" t="str">
        <x:v>Existing</x:v>
      </x:c>
      <x:c r="B53" s="98" t="n">
        <x:v>47</x:v>
      </x:c>
      <x:c r="C53" s="98" t="str">
        <x:v>BPMN 2.0 Business Process &amp; Autonomous Workflow</x:v>
      </x:c>
      <x:c r="D53" s="98" t="str"/>
      <x:c r="E53" s="98" t="str">
        <x:v>R</x:v>
      </x:c>
      <x:c r="F53" s="98" t="str">
        <x:v>Rec</x:v>
      </x:c>
      <x:c r="G53" s="98" t="str">
        <x:v>R</x:v>
      </x:c>
      <x:c r="H53" s="98" t="str"/>
      <x:c r="I53" s="98" t="str"/>
      <x:c r="J53" s="98" t="str"/>
      <x:c r="K53" s="98" t="str"/>
      <x:c r="L53" s="98" t="str"/>
      <x:c r="M53" s="98" t="str"/>
      <x:c r="N53" s="98" t="str"/>
      <x:c r="O53" s="98" t="str"/>
      <x:c r="P53" s="98" t="str"/>
      <x:c r="Q53" s="98" t="str"/>
      <x:c r="R53" s="98" t="str"/>
      <x:c r="S53" s="58" t="str"/>
    </x:row>
    <x:row r="54" ht="34" customHeight="1">
      <x:c r="A54" s="57" t="str">
        <x:v>Existing</x:v>
      </x:c>
      <x:c r="B54" s="98" t="n">
        <x:v>48</x:v>
      </x:c>
      <x:c r="C54" s="98" t="str">
        <x:v>STRIDE Threat Model, Trust Boundaries &amp; Mitigation Map</x:v>
      </x:c>
      <x:c r="D54" s="98" t="str"/>
      <x:c r="E54" s="98" t="str"/>
      <x:c r="F54" s="98" t="str"/>
      <x:c r="G54" s="98" t="str"/>
      <x:c r="H54" s="98" t="str">
        <x:v>Rec</x:v>
      </x:c>
      <x:c r="I54" s="98" t="str">
        <x:v>Rec</x:v>
      </x:c>
      <x:c r="J54" s="98" t="str"/>
      <x:c r="K54" s="98" t="str">
        <x:v>R</x:v>
      </x:c>
      <x:c r="L54" s="98" t="str"/>
      <x:c r="M54" s="98" t="str"/>
      <x:c r="N54" s="98" t="str"/>
      <x:c r="O54" s="98" t="str"/>
      <x:c r="P54" s="98" t="str"/>
      <x:c r="Q54" s="98" t="str"/>
      <x:c r="R54" s="98" t="str"/>
      <x:c r="S54" s="58" t="str"/>
    </x:row>
    <x:row r="55" ht="34" customHeight="1">
      <x:c r="A55" s="57" t="str">
        <x:v>Existing</x:v>
      </x:c>
      <x:c r="B55" s="98" t="n">
        <x:v>49</x:v>
      </x:c>
      <x:c r="C55" s="98" t="str">
        <x:v>Column-Level Data Lineage, Transformations &amp; Provenance</x:v>
      </x:c>
      <x:c r="D55" s="98" t="str"/>
      <x:c r="E55" s="98" t="str"/>
      <x:c r="F55" s="98" t="str"/>
      <x:c r="G55" s="98" t="str"/>
      <x:c r="H55" s="98" t="str"/>
      <x:c r="I55" s="98" t="str">
        <x:v>R</x:v>
      </x:c>
      <x:c r="J55" s="98" t="str"/>
      <x:c r="K55" s="98" t="str">
        <x:v>Rec</x:v>
      </x:c>
      <x:c r="L55" s="98" t="str"/>
      <x:c r="M55" s="98" t="str">
        <x:v>R</x:v>
      </x:c>
      <x:c r="N55" s="98" t="str"/>
      <x:c r="O55" s="98" t="str"/>
      <x:c r="P55" s="98" t="str"/>
      <x:c r="Q55" s="98" t="str"/>
      <x:c r="R55" s="98" t="str"/>
      <x:c r="S55" s="58" t="str"/>
    </x:row>
    <x:row r="56" ht="34" customHeight="1">
      <x:c r="A56" s="57" t="str">
        <x:v>Existing</x:v>
      </x:c>
      <x:c r="B56" s="98" t="n">
        <x:v>50</x:v>
      </x:c>
      <x:c r="C56" s="98" t="str">
        <x:v>Enterprise MCP Gateway on Google Cloud</x:v>
      </x:c>
      <x:c r="D56" s="98" t="str"/>
      <x:c r="E56" s="98" t="str"/>
      <x:c r="F56" s="98" t="str"/>
      <x:c r="G56" s="98" t="str"/>
      <x:c r="H56" s="98" t="str">
        <x:v>R</x:v>
      </x:c>
      <x:c r="I56" s="98" t="str">
        <x:v>R</x:v>
      </x:c>
      <x:c r="J56" s="98" t="str"/>
      <x:c r="K56" s="98" t="str">
        <x:v>R</x:v>
      </x:c>
      <x:c r="L56" s="98" t="str"/>
      <x:c r="M56" s="98" t="str"/>
      <x:c r="N56" s="98" t="str">
        <x:v>R</x:v>
      </x:c>
      <x:c r="O56" s="98" t="str"/>
      <x:c r="P56" s="98" t="str"/>
      <x:c r="Q56" s="98" t="str"/>
      <x:c r="R56" s="98" t="str"/>
      <x:c r="S56" s="58" t="str"/>
    </x:row>
    <x:row r="57" ht="34" customHeight="1">
      <x:c r="A57" s="57" t="str">
        <x:v>Proposed</x:v>
      </x:c>
      <x:c r="B57" s="98" t="n">
        <x:v>51</x:v>
      </x:c>
      <x:c r="C57" s="98" t="str">
        <x:v>Enterprise API Management &amp; Integration Architecture</x:v>
      </x:c>
      <x:c r="D57" s="98" t="str"/>
      <x:c r="E57" s="98" t="str"/>
      <x:c r="F57" s="98" t="str"/>
      <x:c r="G57" s="98" t="str">
        <x:v>Rec</x:v>
      </x:c>
      <x:c r="H57" s="98" t="str">
        <x:v>R</x:v>
      </x:c>
      <x:c r="I57" s="98" t="str">
        <x:v>R</x:v>
      </x:c>
      <x:c r="J57" s="98" t="str"/>
      <x:c r="K57" s="98" t="str">
        <x:v>Rec</x:v>
      </x:c>
      <x:c r="L57" s="98" t="str"/>
      <x:c r="M57" s="98" t="str"/>
      <x:c r="N57" s="98" t="str"/>
      <x:c r="O57" s="98" t="str"/>
      <x:c r="P57" s="98" t="str"/>
      <x:c r="Q57" s="98" t="str"/>
      <x:c r="R57" s="98" t="str"/>
      <x:c r="S57" s="58" t="str"/>
    </x:row>
    <x:row r="58" ht="34" customHeight="1">
      <x:c r="A58" s="57" t="str">
        <x:v>Proposed</x:v>
      </x:c>
      <x:c r="B58" s="98" t="n">
        <x:v>52</x:v>
      </x:c>
      <x:c r="C58" s="98" t="str">
        <x:v>GKE / Kubernetes Enterprise Platform Architecture</x:v>
      </x:c>
      <x:c r="D58" s="98" t="str"/>
      <x:c r="E58" s="98" t="str"/>
      <x:c r="F58" s="98" t="str"/>
      <x:c r="G58" s="98" t="str"/>
      <x:c r="H58" s="98" t="str">
        <x:v>R</x:v>
      </x:c>
      <x:c r="I58" s="98" t="str">
        <x:v>R</x:v>
      </x:c>
      <x:c r="J58" s="98" t="str">
        <x:v>Rec</x:v>
      </x:c>
      <x:c r="K58" s="98" t="str">
        <x:v>R</x:v>
      </x:c>
      <x:c r="L58" s="98" t="str"/>
      <x:c r="M58" s="98" t="str"/>
      <x:c r="N58" s="98" t="str"/>
      <x:c r="O58" s="98" t="str"/>
      <x:c r="P58" s="98" t="str"/>
      <x:c r="Q58" s="98" t="str">
        <x:v>Rec</x:v>
      </x:c>
      <x:c r="R58" s="98" t="str"/>
      <x:c r="S58" s="58" t="str"/>
    </x:row>
    <x:row r="59" ht="34" customHeight="1">
      <x:c r="A59" s="57" t="str">
        <x:v>Proposed</x:v>
      </x:c>
      <x:c r="B59" s="98" t="n">
        <x:v>53</x:v>
      </x:c>
      <x:c r="C59" s="98" t="str">
        <x:v>Highly Available Multi-Region Application Architecture</x:v>
      </x:c>
      <x:c r="D59" s="98" t="str"/>
      <x:c r="E59" s="98" t="str"/>
      <x:c r="F59" s="98" t="str"/>
      <x:c r="G59" s="98" t="str"/>
      <x:c r="H59" s="98" t="str">
        <x:v>R</x:v>
      </x:c>
      <x:c r="I59" s="98" t="str"/>
      <x:c r="J59" s="98" t="str">
        <x:v>Rec</x:v>
      </x:c>
      <x:c r="K59" s="98" t="str"/>
      <x:c r="L59" s="98" t="str"/>
      <x:c r="M59" s="98" t="str"/>
      <x:c r="N59" s="98" t="str"/>
      <x:c r="O59" s="98" t="str">
        <x:v>R</x:v>
      </x:c>
      <x:c r="P59" s="98" t="str"/>
      <x:c r="Q59" s="98" t="str">
        <x:v>Rec</x:v>
      </x:c>
      <x:c r="R59" s="98" t="str"/>
      <x:c r="S59" s="58" t="str"/>
    </x:row>
    <x:row r="60" ht="34" customHeight="1">
      <x:c r="A60" s="57" t="str">
        <x:v>Proposed</x:v>
      </x:c>
      <x:c r="B60" s="98" t="n">
        <x:v>54</x:v>
      </x:c>
      <x:c r="C60" s="98" t="str">
        <x:v>Enterprise ETL/ELT &amp; CDC Data Pipeline Architecture</x:v>
      </x:c>
      <x:c r="D60" s="98" t="str"/>
      <x:c r="E60" s="98" t="str"/>
      <x:c r="F60" s="98" t="str"/>
      <x:c r="G60" s="98" t="str"/>
      <x:c r="H60" s="98" t="str">
        <x:v>R</x:v>
      </x:c>
      <x:c r="I60" s="98" t="str">
        <x:v>Rec</x:v>
      </x:c>
      <x:c r="J60" s="98" t="str"/>
      <x:c r="K60" s="98" t="str"/>
      <x:c r="L60" s="98" t="str"/>
      <x:c r="M60" s="98" t="str">
        <x:v>R</x:v>
      </x:c>
      <x:c r="N60" s="98" t="str"/>
      <x:c r="O60" s="98" t="str"/>
      <x:c r="P60" s="98" t="str"/>
      <x:c r="Q60" s="98" t="str">
        <x:v>Rec</x:v>
      </x:c>
      <x:c r="R60" s="98" t="str"/>
      <x:c r="S60" s="58" t="str"/>
    </x:row>
    <x:row r="61" ht="34" customHeight="1">
      <x:c r="A61" s="57" t="str">
        <x:v>Proposed</x:v>
      </x:c>
      <x:c r="B61" s="98" t="n">
        <x:v>55</x:v>
      </x:c>
      <x:c r="C61" s="98" t="str">
        <x:v>Workload Identity &amp; Service-to-Service Authorization Architecture</x:v>
      </x:c>
      <x:c r="D61" s="98" t="str"/>
      <x:c r="E61" s="98" t="str"/>
      <x:c r="F61" s="98" t="str"/>
      <x:c r="G61" s="98" t="str"/>
      <x:c r="H61" s="98" t="str">
        <x:v>R</x:v>
      </x:c>
      <x:c r="I61" s="98" t="str">
        <x:v>R</x:v>
      </x:c>
      <x:c r="J61" s="98" t="str"/>
      <x:c r="K61" s="98" t="str">
        <x:v>R</x:v>
      </x:c>
      <x:c r="L61" s="98" t="str">
        <x:v>R</x:v>
      </x:c>
      <x:c r="M61" s="98" t="str"/>
      <x:c r="N61" s="98" t="str"/>
      <x:c r="O61" s="98" t="str"/>
      <x:c r="P61" s="98" t="str"/>
      <x:c r="Q61" s="98" t="str"/>
      <x:c r="R61" s="98" t="str"/>
      <x:c r="S61" s="58" t="str"/>
    </x:row>
    <x:row r="62" ht="34" customHeight="1">
      <x:c r="A62" s="57" t="str">
        <x:v>Proposed</x:v>
      </x:c>
      <x:c r="B62" s="98" t="n">
        <x:v>56</x:v>
      </x:c>
      <x:c r="C62" s="98" t="str">
        <x:v>Private Ingress, Egress &amp; Service Connectivity Architecture</x:v>
      </x:c>
      <x:c r="D62" s="98" t="str"/>
      <x:c r="E62" s="98" t="str"/>
      <x:c r="F62" s="98" t="str"/>
      <x:c r="G62" s="98" t="str"/>
      <x:c r="H62" s="98" t="str">
        <x:v>R</x:v>
      </x:c>
      <x:c r="I62" s="98" t="str">
        <x:v>Rec</x:v>
      </x:c>
      <x:c r="J62" s="98" t="str">
        <x:v>R</x:v>
      </x:c>
      <x:c r="K62" s="98" t="str">
        <x:v>R</x:v>
      </x:c>
      <x:c r="L62" s="98" t="str"/>
      <x:c r="M62" s="98" t="str"/>
      <x:c r="N62" s="98" t="str"/>
      <x:c r="O62" s="98" t="str"/>
      <x:c r="P62" s="98" t="str"/>
      <x:c r="Q62" s="98" t="str"/>
      <x:c r="R62" s="98" t="str"/>
      <x:c r="S62" s="58" t="str"/>
    </x:row>
    <x:row r="63" ht="34" customHeight="1">
      <x:c r="A63" s="57" t="str">
        <x:v>Proposed</x:v>
      </x:c>
      <x:c r="B63" s="98" t="n">
        <x:v>57</x:v>
      </x:c>
      <x:c r="C63" s="98" t="str">
        <x:v>Enterprise MLOps Lifecycle Architecture</x:v>
      </x:c>
      <x:c r="D63" s="98" t="str"/>
      <x:c r="E63" s="98" t="str"/>
      <x:c r="F63" s="98" t="str"/>
      <x:c r="G63" s="98" t="str"/>
      <x:c r="H63" s="98" t="str">
        <x:v>R</x:v>
      </x:c>
      <x:c r="I63" s="98" t="str">
        <x:v>R</x:v>
      </x:c>
      <x:c r="J63" s="98" t="str"/>
      <x:c r="K63" s="98" t="str"/>
      <x:c r="L63" s="98" t="str"/>
      <x:c r="M63" s="98" t="str"/>
      <x:c r="N63" s="98" t="str">
        <x:v>R</x:v>
      </x:c>
      <x:c r="O63" s="98" t="str"/>
      <x:c r="P63" s="98" t="str"/>
      <x:c r="Q63" s="98" t="str">
        <x:v>Rec</x:v>
      </x:c>
      <x:c r="R63" s="98" t="str"/>
      <x:c r="S63" s="58" t="str"/>
    </x:row>
    <x:row r="64" ht="34" customHeight="1">
      <x:c r="A64" s="57" t="str">
        <x:v>Proposed</x:v>
      </x:c>
      <x:c r="B64" s="98" t="n">
        <x:v>58</x:v>
      </x:c>
      <x:c r="C64" s="98" t="str">
        <x:v>GraphRAG / Knowledge Graph Architecture</x:v>
      </x:c>
      <x:c r="D64" s="98" t="str"/>
      <x:c r="E64" s="98" t="str"/>
      <x:c r="F64" s="98" t="str"/>
      <x:c r="G64" s="98" t="str"/>
      <x:c r="H64" s="98" t="str">
        <x:v>R</x:v>
      </x:c>
      <x:c r="I64" s="98" t="str">
        <x:v>Rec</x:v>
      </x:c>
      <x:c r="J64" s="98" t="str"/>
      <x:c r="K64" s="98" t="str"/>
      <x:c r="L64" s="98" t="str"/>
      <x:c r="M64" s="98" t="str">
        <x:v>R</x:v>
      </x:c>
      <x:c r="N64" s="98" t="str">
        <x:v>R</x:v>
      </x:c>
      <x:c r="O64" s="98" t="str"/>
      <x:c r="P64" s="98" t="str"/>
      <x:c r="Q64" s="98" t="str"/>
      <x:c r="R64" s="98" t="str"/>
      <x:c r="S64" s="58" t="str"/>
    </x:row>
    <x:row r="65" ht="34" customHeight="1">
      <x:c r="A65" s="57" t="str">
        <x:v>Proposed</x:v>
      </x:c>
      <x:c r="B65" s="98" t="n">
        <x:v>59</x:v>
      </x:c>
      <x:c r="C65" s="98" t="str">
        <x:v>SaaS Multi-Tenant Application Architecture</x:v>
      </x:c>
      <x:c r="D65" s="98" t="str"/>
      <x:c r="E65" s="98" t="str"/>
      <x:c r="F65" s="98" t="str"/>
      <x:c r="G65" s="98" t="str"/>
      <x:c r="H65" s="98" t="str">
        <x:v>R</x:v>
      </x:c>
      <x:c r="I65" s="98" t="str">
        <x:v>R</x:v>
      </x:c>
      <x:c r="J65" s="98" t="str"/>
      <x:c r="K65" s="98" t="str">
        <x:v>R</x:v>
      </x:c>
      <x:c r="L65" s="98" t="str">
        <x:v>Rec</x:v>
      </x:c>
      <x:c r="M65" s="98" t="str"/>
      <x:c r="N65" s="98" t="str"/>
      <x:c r="O65" s="98" t="str"/>
      <x:c r="P65" s="98" t="str"/>
      <x:c r="Q65" s="98" t="str"/>
      <x:c r="R65" s="98" t="str"/>
      <x:c r="S65" s="58" t="str"/>
    </x:row>
    <x:row r="66" ht="34" customHeight="1">
      <x:c r="A66" s="59" t="str">
        <x:v>Proposed</x:v>
      </x:c>
      <x:c r="B66" s="99" t="n">
        <x:v>60</x:v>
      </x:c>
      <x:c r="C66" s="99" t="str">
        <x:v>Intelligent Document Processing Platform</x:v>
      </x:c>
      <x:c r="D66" s="99" t="str"/>
      <x:c r="E66" s="99" t="str"/>
      <x:c r="F66" s="99" t="str"/>
      <x:c r="G66" s="99" t="str">
        <x:v>Rec</x:v>
      </x:c>
      <x:c r="H66" s="99" t="str">
        <x:v>R</x:v>
      </x:c>
      <x:c r="I66" s="99" t="str"/>
      <x:c r="J66" s="99" t="str"/>
      <x:c r="K66" s="99" t="str">
        <x:v>Rec</x:v>
      </x:c>
      <x:c r="L66" s="99" t="str"/>
      <x:c r="M66" s="99" t="str">
        <x:v>R</x:v>
      </x:c>
      <x:c r="N66" s="99" t="str">
        <x:v>R</x:v>
      </x:c>
      <x:c r="O66" s="99" t="str"/>
      <x:c r="P66" s="99" t="str"/>
      <x:c r="Q66" s="99" t="str"/>
      <x:c r="R66" s="99" t="str"/>
      <x:c r="S66" s="60" t="str"/>
    </x:row>
  </x:sheetData>
  <x:mergeCells>
    <x:mergeCell ref="A1:S1"/>
    <x:mergeCell ref="A2:S2"/>
    <x:mergeCell ref="A3:S3"/>
    <x:mergeCell ref="A4:S4"/>
  </x:mergeCells>
  <x:conditionalFormatting sqref="D7:S66">
    <x:cfRule type="cellIs" dxfId="12" priority="1">
      <x:formula>"R"</x:formula>
    </x:cfRule>
    <x:cfRule type="cellIs" dxfId="13" priority="2">
      <x:formula>"Rec"</x:formula>
    </x:cfRule>
    <x:cfRule type="cellIs" dxfId="14" priority="3">
      <x:formula>"O"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f3c5d767bd43b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6" hidden="0" customWidth="1"/>
    <x:col min="3" max="3" width="32" hidden="0" customWidth="1"/>
    <x:col min="4" max="4" width="50" hidden="0" customWidth="1"/>
    <x:col min="5" max="5" width="12" hidden="0" customWidth="1"/>
    <x:col min="6" max="6" width="20" hidden="0" customWidth="1"/>
    <x:col min="7" max="7" width="10" hidden="0" customWidth="1"/>
  </x:cols>
  <x:sheetData>
    <x:row r="1" ht="28" customHeight="1">
      <x:c r="A1" s="4" t="str">
        <x:v>Dimension 2 — Canonical Architecture Domain Taxonomy</x:v>
      </x:c>
      <x:c r="B1" s="4"/>
      <x:c r="C1" s="4"/>
      <x:c r="D1" s="4"/>
      <x:c r="E1" s="4"/>
      <x:c r="F1" s="4"/>
      <x:c r="G1" s="4"/>
    </x:row>
    <x:row r="2" ht="34" customHeight="1">
      <x:c r="A2" s="11" t="str">
        <x:v>Self-contained domain model for browsing the architecture library. Each blueprint has exactly one canonical home domain plus multiple concern tags.</x:v>
      </x:c>
      <x:c r="B2" s="11"/>
      <x:c r="C2" s="11"/>
      <x:c r="D2" s="11"/>
      <x:c r="E2" s="11"/>
      <x:c r="F2" s="11"/>
      <x:c r="G2" s="11"/>
    </x:row>
    <x:row r="3" ht="28" customHeight="1">
      <x:c r="A3" s="18" t="str">
        <x:v>Use domains for 'Browse Architecture Library'. Do not mix domains with document types, lifecycle stages, abstraction levels or notation types.</x:v>
      </x:c>
      <x:c r="B3" s="18"/>
      <x:c r="C3" s="18"/>
      <x:c r="D3" s="18"/>
      <x:c r="E3" s="18"/>
      <x:c r="F3" s="18"/>
      <x:c r="G3" s="18"/>
    </x:row>
    <x:row r="4" ht="28" customHeight="1">
      <x:c r="A4" s="18" t="str">
        <x:v>Anti-overlap rule: if two templates share a domain, they must still solve a materially different architecture problem and have distinct 'Best for / Shows' language.</x:v>
      </x:c>
      <x:c r="B4" s="18"/>
      <x:c r="C4" s="18"/>
      <x:c r="D4" s="18"/>
      <x:c r="E4" s="18"/>
      <x:c r="F4" s="18"/>
      <x:c r="G4" s="18"/>
    </x:row>
    <x:row r="6" ht="34" customHeight="1">
      <x:c r="A6" s="30" t="str">
        <x:v>Domain</x:v>
      </x:c>
      <x:c r="B6" s="135" t="str">
        <x:v>Scope / When to Use</x:v>
      </x:c>
      <x:c r="C6" s="135" t="str">
        <x:v>Existing Blueprints</x:v>
      </x:c>
      <x:c r="D6" s="135" t="str">
        <x:v>Proposed Blueprints</x:v>
      </x:c>
      <x:c r="E6" s="31" t="str">
        <x:v>Anti-overlap / Governance Rule</x:v>
      </x:c>
    </x:row>
    <x:row r="7" ht="62" customHeight="1">
      <x:c r="A7" s="55" t="str">
        <x:v>Enterprise Strategy &amp; Transformation</x:v>
      </x:c>
      <x:c r="B7" s="97" t="str">
        <x:v>Transformation planning, current/target state, migration disposition and value flow.</x:v>
      </x:c>
      <x:c r="C7" s="97" t="str">
        <x:v>#1, #3, #4, #29</x:v>
      </x:c>
      <x:c r="D7" s="97" t="str">
        <x:v>—</x:v>
      </x:c>
      <x:c r="E7" s="56" t="str">
        <x:v>Do not place runtime/cloud topology here.</x:v>
      </x:c>
    </x:row>
    <x:row r="8" ht="62" customHeight="1">
      <x:c r="A8" s="57" t="str">
        <x:v>Application &amp; Integration</x:v>
      </x:c>
      <x:c r="B8" s="98" t="str">
        <x:v>Application composition, APIs, micro-frontends, events and integration patterns.</x:v>
      </x:c>
      <x:c r="C8" s="98" t="str">
        <x:v>#2, #13, #25, #26</x:v>
      </x:c>
      <x:c r="D8" s="98" t="str">
        <x:v>#51, #59</x:v>
      </x:c>
      <x:c r="E8" s="58" t="str">
        <x:v>Differentiate synchronous API, event mesh, serverless EDA and SaaS tenancy.</x:v>
      </x:c>
    </x:row>
    <x:row r="9" ht="62" customHeight="1">
      <x:c r="A9" s="57" t="str">
        <x:v>Data &amp; Analytics</x:v>
      </x:c>
      <x:c r="B9" s="98" t="str">
        <x:v>Enterprise data platforms, governance, pipelines, quality, streaming and lineage.</x:v>
      </x:c>
      <x:c r="C9" s="98" t="str">
        <x:v>#9, #11, #27, #28, #36, #49</x:v>
      </x:c>
      <x:c r="D9" s="98" t="str">
        <x:v>#54, #60</x:v>
      </x:c>
      <x:c r="E9" s="58" t="str">
        <x:v>ERD stays under Architecture Standards because its primary value is notation/modeling.</x:v>
      </x:c>
    </x:row>
    <x:row r="10" ht="62" customHeight="1">
      <x:c r="A10" s="57" t="str">
        <x:v>AI &amp; Agentic</x:v>
      </x:c>
      <x:c r="B10" s="98" t="str">
        <x:v>RAG, agents, runtime, evaluation, guardrails, capacity, LLMOps and MCP.</x:v>
      </x:c>
      <x:c r="C10" s="98" t="str">
        <x:v>#7, #8, #14, #15, #19, #21, #22, #23, #33, #35, #50</x:v>
      </x:c>
      <x:c r="D10" s="98" t="str">
        <x:v>#57, #58</x:v>
      </x:c>
      <x:c r="E10" s="58" t="str">
        <x:v>Keep MLOps, LLMOps, RAG, agent runtime and MCP as distinct patterns.</x:v>
      </x:c>
    </x:row>
    <x:row r="11" ht="62" customHeight="1">
      <x:c r="A11" s="57" t="str">
        <x:v>Cloud Platform &amp; Networking</x:v>
      </x:c>
      <x:c r="B11" s="98" t="str">
        <x:v>Landing zones, Shared VPC, hybrid/multi-cloud connectivity and platform/network foundations.</x:v>
      </x:c>
      <x:c r="C11" s="98" t="str">
        <x:v>#17, #20</x:v>
      </x:c>
      <x:c r="D11" s="98" t="str">
        <x:v>#52, #56</x:v>
      </x:c>
      <x:c r="E11" s="58" t="str">
        <x:v>Security controls may appear, but network topology remains the primary architecture.</x:v>
      </x:c>
    </x:row>
    <x:row r="12" ht="62" customHeight="1">
      <x:c r="A12" s="57" t="str">
        <x:v>Security &amp; Identity</x:v>
      </x:c>
      <x:c r="B12" s="98" t="str">
        <x:v>Identity, trust boundaries, sovereignty and threat models.</x:v>
      </x:c>
      <x:c r="C12" s="98" t="str">
        <x:v>#12, #16, #18, #48</x:v>
      </x:c>
      <x:c r="D12" s="98" t="str">
        <x:v>#55</x:v>
      </x:c>
      <x:c r="E12" s="58" t="str">
        <x:v>Do not make every security concern its own top-level domain.</x:v>
      </x:c>
    </x:row>
    <x:row r="13" ht="62" customHeight="1">
      <x:c r="A13" s="57" t="str">
        <x:v>Reliability &amp; Operations</x:v>
      </x:c>
      <x:c r="B13" s="98" t="str">
        <x:v>SRE, incident response, HA/DR and operational reliability.</x:v>
      </x:c>
      <x:c r="C13" s="98" t="str">
        <x:v>#30, #32, #37</x:v>
      </x:c>
      <x:c r="D13" s="98" t="str">
        <x:v>#53</x:v>
      </x:c>
      <x:c r="E13" s="58" t="str">
        <x:v>Separate steady-state HA (#53) from disaster-recovery procedures (#37).</x:v>
      </x:c>
    </x:row>
    <x:row r="14" ht="62" customHeight="1">
      <x:c r="A14" s="57" t="str">
        <x:v>DevSecOps &amp; Release</x:v>
      </x:c>
      <x:c r="B14" s="98" t="str">
        <x:v>Software supply chain, CI/CD, release, cutover and rollback.</x:v>
      </x:c>
      <x:c r="C14" s="98" t="str">
        <x:v>#24, #31</x:v>
      </x:c>
      <x:c r="D14" s="98" t="str">
        <x:v>—</x:v>
      </x:c>
      <x:c r="E14" s="58" t="str">
        <x:v>Operations after release belongs in Reliability &amp; Operations.</x:v>
      </x:c>
    </x:row>
    <x:row r="15" ht="62" customHeight="1">
      <x:c r="A15" s="57" t="str">
        <x:v>Strategy &amp; Operating Model</x:v>
      </x:c>
      <x:c r="B15" s="98" t="str">
        <x:v>FinOps, COE, governance operating models and organizational execution.</x:v>
      </x:c>
      <x:c r="C15" s="98" t="str">
        <x:v>#5, #34</x:v>
      </x:c>
      <x:c r="D15" s="98" t="str">
        <x:v>—</x:v>
      </x:c>
      <x:c r="E15" s="58" t="str">
        <x:v>Do not treat organizational diagrams as application architecture.</x:v>
      </x:c>
    </x:row>
    <x:row r="16" ht="62" customHeight="1">
      <x:c r="A16" s="57" t="str">
        <x:v>Architecture Standards</x:v>
      </x:c>
      <x:c r="B16" s="98" t="str">
        <x:v>Notation-led reusable views where method fidelity matters more than vendor styling.</x:v>
      </x:c>
      <x:c r="C16" s="98" t="str">
        <x:v>#6, #10, #45, #46, #47</x:v>
      </x:c>
      <x:c r="D16" s="98" t="str">
        <x:v>—</x:v>
      </x:c>
      <x:c r="E16" s="58" t="str">
        <x:v>C4/BPMN/ERD must preserve notation semantics.</x:v>
      </x:c>
    </x:row>
    <x:row r="17" ht="62" customHeight="1">
      <x:c r="A17" s="59" t="str">
        <x:v>Industry Solutions</x:v>
      </x:c>
      <x:c r="B17" s="99" t="str">
        <x:v>End-to-end reference architectures shaped by regulated or industry-specific workflows.</x:v>
      </x:c>
      <x:c r="C17" s="99" t="str">
        <x:v>#38–#44</x:v>
      </x:c>
      <x:c r="D17" s="99" t="str">
        <x:v>—</x:v>
      </x:c>
      <x:c r="E17" s="60" t="str">
        <x:v>Industry is a domain, never an abstraction level.</x:v>
      </x:c>
    </x:row>
    <x:row r="19" ht="34" customHeight="1">
      <x:c r="A19" s="30" t="str">
        <x:v>#</x:v>
      </x:c>
      <x:c r="B19" s="135" t="str">
        <x:v>Blueprint</x:v>
      </x:c>
      <x:c r="C19" s="135" t="str">
        <x:v>Canonical Domain</x:v>
      </x:c>
      <x:c r="D19" s="135" t="str">
        <x:v>Concerns / Tags</x:v>
      </x:c>
      <x:c r="E19" s="135" t="str">
        <x:v>Portfolio</x:v>
      </x:c>
      <x:c r="F19" s="135" t="str">
        <x:v>Decision</x:v>
      </x:c>
      <x:c r="G19" s="31" t="str">
        <x:v>Priority</x:v>
      </x:c>
    </x:row>
    <x:row r="20" ht="34" customHeight="1">
      <x:c r="A20" s="55" t="n">
        <x:v>1</x:v>
      </x:c>
      <x:c r="B20" s="97" t="str">
        <x:v>Legacy Data Dependency &amp; Migration Wave Map</x:v>
      </x:c>
      <x:c r="C20" s="97" t="str">
        <x:v>Enterprise Strategy &amp; Transformation</x:v>
      </x:c>
      <x:c r="D20" s="97" t="str">
        <x:v>Dependencies; migration sequencing; ownership; risk</x:v>
      </x:c>
      <x:c r="E20" s="97" t="str">
        <x:v>Existing</x:v>
      </x:c>
      <x:c r="F20" s="97" t="str">
        <x:v>CHANGE</x:v>
      </x:c>
      <x:c r="G20" s="56" t="str">
        <x:v>P1</x:v>
      </x:c>
    </x:row>
    <x:row r="21" ht="34" customHeight="1">
      <x:c r="A21" s="57" t="n">
        <x:v>2</x:v>
      </x:c>
      <x:c r="B21" s="98" t="str">
        <x:v>Hybrid / Strangler Fig Transition Architecture</x:v>
      </x:c>
      <x:c r="C21" s="98" t="str">
        <x:v>Application &amp; Integration</x:v>
      </x:c>
      <x:c r="D21" s="98" t="str">
        <x:v>Modernization; routing; coexistence; rollback</x:v>
      </x:c>
      <x:c r="E21" s="98" t="str">
        <x:v>Existing</x:v>
      </x:c>
      <x:c r="F21" s="98" t="str">
        <x:v>KEEP + POLISH</x:v>
      </x:c>
      <x:c r="G21" s="58" t="str">
        <x:v>P2</x:v>
      </x:c>
    </x:row>
    <x:row r="22" ht="34" customHeight="1">
      <x:c r="A22" s="57" t="n">
        <x:v>3</x:v>
      </x:c>
      <x:c r="B22" s="98" t="str">
        <x:v>Enterprise AI Delivery Value Stream Map</x:v>
      </x:c>
      <x:c r="C22" s="98" t="str">
        <x:v>Enterprise Strategy &amp; Transformation</x:v>
      </x:c>
      <x:c r="D22" s="98" t="str">
        <x:v>Lean flow; bottlenecks; handoffs; cycle time</x:v>
      </x:c>
      <x:c r="E22" s="98" t="str">
        <x:v>Existing</x:v>
      </x:c>
      <x:c r="F22" s="98" t="str">
        <x:v>CHANGE</x:v>
      </x:c>
      <x:c r="G22" s="58" t="str">
        <x:v>P1</x:v>
      </x:c>
    </x:row>
    <x:row r="23" ht="34" customHeight="1">
      <x:c r="A23" s="57" t="n">
        <x:v>4</x:v>
      </x:c>
      <x:c r="B23" s="98" t="str">
        <x:v>As-Is vs. To-Be Process &amp; Architecture Flow</x:v>
      </x:c>
      <x:c r="C23" s="98" t="str">
        <x:v>Enterprise Strategy &amp; Transformation</x:v>
      </x:c>
      <x:c r="D23" s="98" t="str">
        <x:v>Current state; target state; transition outcomes</x:v>
      </x:c>
      <x:c r="E23" s="98" t="str">
        <x:v>Existing</x:v>
      </x:c>
      <x:c r="F23" s="98" t="str">
        <x:v>KEEP + POLISH</x:v>
      </x:c>
      <x:c r="G23" s="58" t="str">
        <x:v>P2</x:v>
      </x:c>
    </x:row>
    <x:row r="24" ht="34" customHeight="1">
      <x:c r="A24" s="57" t="n">
        <x:v>5</x:v>
      </x:c>
      <x:c r="B24" s="98" t="str">
        <x:v>Google Cloud FinOps, Allocation &amp; Chargeback Architecture</x:v>
      </x:c>
      <x:c r="C24" s="98" t="str">
        <x:v>Strategy &amp; Operating Model</x:v>
      </x:c>
      <x:c r="D24" s="98" t="str">
        <x:v>Billing; allocation; budgets; quotas; showback/chargeback</x:v>
      </x:c>
      <x:c r="E24" s="98" t="str">
        <x:v>Existing</x:v>
      </x:c>
      <x:c r="F24" s="98" t="str">
        <x:v>REBUILD</x:v>
      </x:c>
      <x:c r="G24" s="58" t="str">
        <x:v>P0</x:v>
      </x:c>
    </x:row>
    <x:row r="25" ht="34" customHeight="1">
      <x:c r="A25" s="57" t="n">
        <x:v>6</x:v>
      </x:c>
      <x:c r="B25" s="98" t="str">
        <x:v>Enterprise Reference Architecture</x:v>
      </x:c>
      <x:c r="C25" s="98" t="str">
        <x:v>Architecture Standards</x:v>
      </x:c>
      <x:c r="D25" s="98" t="str">
        <x:v>Enterprise context; layers; cross-cutting concerns</x:v>
      </x:c>
      <x:c r="E25" s="98" t="str">
        <x:v>Existing</x:v>
      </x:c>
      <x:c r="F25" s="98" t="str">
        <x:v>REBUILD / RENAME</x:v>
      </x:c>
      <x:c r="G25" s="58" t="str">
        <x:v>P0</x:v>
      </x:c>
    </x:row>
    <x:row r="26" ht="34" customHeight="1">
      <x:c r="A26" s="57" t="n">
        <x:v>7</x:v>
      </x:c>
      <x:c r="B26" s="98" t="str">
        <x:v>Agentic RAG &amp; Grounded AI Architecture</x:v>
      </x:c>
      <x:c r="C26" s="98" t="str">
        <x:v>AI &amp; Agentic</x:v>
      </x:c>
      <x:c r="D26" s="98" t="str">
        <x:v>RAG; grounding; agents; safety; memory</x:v>
      </x:c>
      <x:c r="E26" s="98" t="str">
        <x:v>Existing</x:v>
      </x:c>
      <x:c r="F26" s="98" t="str">
        <x:v>KEEP + UPDATE</x:v>
      </x:c>
      <x:c r="G26" s="58" t="str">
        <x:v>P1</x:v>
      </x:c>
    </x:row>
    <x:row r="27" ht="34" customHeight="1">
      <x:c r="A27" s="57" t="n">
        <x:v>8</x:v>
      </x:c>
      <x:c r="B27" s="98" t="str">
        <x:v>Hub-and-Spoke Multi-Agent Orchestration</x:v>
      </x:c>
      <x:c r="C27" s="98" t="str">
        <x:v>AI &amp; Agentic</x:v>
      </x:c>
      <x:c r="D27" s="98" t="str">
        <x:v>Supervisor; delegation; A2A; MCP; shared state</x:v>
      </x:c>
      <x:c r="E27" s="98" t="str">
        <x:v>Existing</x:v>
      </x:c>
      <x:c r="F27" s="98" t="str">
        <x:v>KEEP + CHANGE</x:v>
      </x:c>
      <x:c r="G27" s="58" t="str">
        <x:v>P1</x:v>
      </x:c>
    </x:row>
    <x:row r="28" ht="34" customHeight="1">
      <x:c r="A28" s="57" t="n">
        <x:v>9</x:v>
      </x:c>
      <x:c r="B28" s="98" t="str">
        <x:v>Google Cloud Enterprise Data Lakehouse &amp; AI Consumption</x:v>
      </x:c>
      <x:c r="C28" s="98" t="str">
        <x:v>Data &amp; Analytics</x:v>
      </x:c>
      <x:c r="D28" s="98" t="str">
        <x:v>Lakehouse; governance; analytics; AI consumption</x:v>
      </x:c>
      <x:c r="E28" s="98" t="str">
        <x:v>Existing</x:v>
      </x:c>
      <x:c r="F28" s="98" t="str">
        <x:v>KEEP + UPDATE</x:v>
      </x:c>
      <x:c r="G28" s="58" t="str">
        <x:v>P1</x:v>
      </x:c>
    </x:row>
    <x:row r="29" ht="34" customHeight="1">
      <x:c r="A29" s="57" t="n">
        <x:v>10</x:v>
      </x:c>
      <x:c r="B29" s="98" t="str">
        <x:v>Dimensional Data Model - Crow's Foot ERD</x:v>
      </x:c>
      <x:c r="C29" s="98" t="str">
        <x:v>Architecture Standards</x:v>
      </x:c>
      <x:c r="D29" s="98" t="str">
        <x:v>Dimensional modeling; grain; keys; cardinality</x:v>
      </x:c>
      <x:c r="E29" s="98" t="str">
        <x:v>Existing</x:v>
      </x:c>
      <x:c r="F29" s="98" t="str">
        <x:v>KEEP</x:v>
      </x:c>
      <x:c r="G29" s="58" t="str">
        <x:v>P2</x:v>
      </x:c>
    </x:row>
    <x:row r="30" ht="34" customHeight="1">
      <x:c r="A30" s="57" t="n">
        <x:v>11</x:v>
      </x:c>
      <x:c r="B30" s="98" t="str">
        <x:v>Unified Data Governance, Catalog &amp; Access Control</x:v>
      </x:c>
      <x:c r="C30" s="98" t="str">
        <x:v>Data &amp; Analytics</x:v>
      </x:c>
      <x:c r="D30" s="98" t="str">
        <x:v>Catalog; classification; lineage; policy; access</x:v>
      </x:c>
      <x:c r="E30" s="98" t="str">
        <x:v>Existing</x:v>
      </x:c>
      <x:c r="F30" s="98" t="str">
        <x:v>CHANGE</x:v>
      </x:c>
      <x:c r="G30" s="58" t="str">
        <x:v>P1</x:v>
      </x:c>
    </x:row>
    <x:row r="31" ht="34" customHeight="1">
      <x:c r="A31" s="57" t="n">
        <x:v>12</x:v>
      </x:c>
      <x:c r="B31" s="98" t="str">
        <x:v>Federated Workforce Identity, SSO &amp; IAM Architecture</x:v>
      </x:c>
      <x:c r="C31" s="98" t="str">
        <x:v>Security &amp; Identity</x:v>
      </x:c>
      <x:c r="D31" s="98" t="str">
        <x:v>SSO; workforce identity; federation; authorization</x:v>
      </x:c>
      <x:c r="E31" s="98" t="str">
        <x:v>Existing</x:v>
      </x:c>
      <x:c r="F31" s="98" t="str">
        <x:v>KEEP + UPDATE</x:v>
      </x:c>
      <x:c r="G31" s="58" t="str">
        <x:v>P1</x:v>
      </x:c>
    </x:row>
    <x:row r="32" ht="34" customHeight="1">
      <x:c r="A32" s="57" t="n">
        <x:v>13</x:v>
      </x:c>
      <x:c r="B32" s="98" t="str">
        <x:v>Enterprise Micro-Frontend Architecture</x:v>
      </x:c>
      <x:c r="C32" s="98" t="str">
        <x:v>Application &amp; Integration</x:v>
      </x:c>
      <x:c r="D32" s="98" t="str">
        <x:v>Frontend composition; independent deployment; auth</x:v>
      </x:c>
      <x:c r="E32" s="98" t="str">
        <x:v>Existing</x:v>
      </x:c>
      <x:c r="F32" s="98" t="str">
        <x:v>KEEP</x:v>
      </x:c>
      <x:c r="G32" s="58" t="str">
        <x:v>P2</x:v>
      </x:c>
    </x:row>
    <x:row r="33" ht="34" customHeight="1">
      <x:c r="A33" s="57" t="n">
        <x:v>14</x:v>
      </x:c>
      <x:c r="B33" s="98" t="str">
        <x:v>Multi-Tenant AI Platform Isolation &amp; Configuration</x:v>
      </x:c>
      <x:c r="C33" s="98" t="str">
        <x:v>AI &amp; Agentic</x:v>
      </x:c>
      <x:c r="D33" s="98" t="str">
        <x:v>Tenant isolation; identity; quotas; data boundaries</x:v>
      </x:c>
      <x:c r="E33" s="98" t="str">
        <x:v>Existing</x:v>
      </x:c>
      <x:c r="F33" s="98" t="str">
        <x:v>CHANGE</x:v>
      </x:c>
      <x:c r="G33" s="58" t="str">
        <x:v>P1</x:v>
      </x:c>
    </x:row>
    <x:row r="34" ht="34" customHeight="1">
      <x:c r="A34" s="57" t="n">
        <x:v>15</x:v>
      </x:c>
      <x:c r="B34" s="98" t="str">
        <x:v>Multi-Agent Execution Sequence Diagram</x:v>
      </x:c>
      <x:c r="C34" s="98" t="str">
        <x:v>AI &amp; Agentic</x:v>
      </x:c>
      <x:c r="D34" s="98" t="str">
        <x:v>Agent orchestration; request/response; error branches</x:v>
      </x:c>
      <x:c r="E34" s="98" t="str">
        <x:v>Existing</x:v>
      </x:c>
      <x:c r="F34" s="98" t="str">
        <x:v>KEEP</x:v>
      </x:c>
      <x:c r="G34" s="58" t="str">
        <x:v>P2</x:v>
      </x:c>
    </x:row>
    <x:row r="35" ht="34" customHeight="1">
      <x:c r="A35" s="57" t="n">
        <x:v>16</x:v>
      </x:c>
      <x:c r="B35" s="98" t="str">
        <x:v>Secure Google Cloud Deployment &amp; Trust Boundary Topology</x:v>
      </x:c>
      <x:c r="C35" s="98" t="str">
        <x:v>Security &amp; Identity</x:v>
      </x:c>
      <x:c r="D35" s="98" t="str">
        <x:v>Trust boundaries; ingress/egress; private access; deployment controls</x:v>
      </x:c>
      <x:c r="E35" s="98" t="str">
        <x:v>Existing</x:v>
      </x:c>
      <x:c r="F35" s="98" t="str">
        <x:v>KEEP + CHANGE</x:v>
      </x:c>
      <x:c r="G35" s="58" t="str">
        <x:v>P1</x:v>
      </x:c>
    </x:row>
    <x:row r="36" ht="34" customHeight="1">
      <x:c r="A36" s="57" t="n">
        <x:v>17</x:v>
      </x:c>
      <x:c r="B36" s="98" t="str">
        <x:v>Google Cloud Landing Zone &amp; Shared VPC Topology</x:v>
      </x:c>
      <x:c r="C36" s="98" t="str">
        <x:v>Cloud Platform &amp; Networking</x:v>
      </x:c>
      <x:c r="D36" s="98" t="str">
        <x:v>Organization; projects; Shared VPC; policy</x:v>
      </x:c>
      <x:c r="E36" s="98" t="str">
        <x:v>Existing</x:v>
      </x:c>
      <x:c r="F36" s="98" t="str">
        <x:v>KEEP</x:v>
      </x:c>
      <x:c r="G36" s="58" t="str">
        <x:v>P2</x:v>
      </x:c>
    </x:row>
    <x:row r="37" ht="34" customHeight="1">
      <x:c r="A37" s="57" t="n">
        <x:v>18</x:v>
      </x:c>
      <x:c r="B37" s="98" t="str">
        <x:v>Data Residency, Sovereignty &amp; Administrative Access Architecture</x:v>
      </x:c>
      <x:c r="C37" s="98" t="str">
        <x:v>Security &amp; Identity</x:v>
      </x:c>
      <x:c r="D37" s="98" t="str">
        <x:v>Residency; key control; processing location; admin access</x:v>
      </x:c>
      <x:c r="E37" s="98" t="str">
        <x:v>Existing</x:v>
      </x:c>
      <x:c r="F37" s="98" t="str">
        <x:v>KEEP + CHANGE</x:v>
      </x:c>
      <x:c r="G37" s="58" t="str">
        <x:v>P1</x:v>
      </x:c>
    </x:row>
    <x:row r="38" ht="34" customHeight="1">
      <x:c r="A38" s="57" t="n">
        <x:v>19</x:v>
      </x:c>
      <x:c r="B38" s="98" t="str">
        <x:v>Enterprise Agent Runtime Platform on Google Cloud</x:v>
      </x:c>
      <x:c r="C38" s="98" t="str">
        <x:v>AI &amp; Agentic</x:v>
      </x:c>
      <x:c r="D38" s="98" t="str">
        <x:v>Agent runtime; tools; memory; observability; deployment choices</x:v>
      </x:c>
      <x:c r="E38" s="98" t="str">
        <x:v>Existing</x:v>
      </x:c>
      <x:c r="F38" s="98" t="str">
        <x:v>KEEP + UPDATE</x:v>
      </x:c>
      <x:c r="G38" s="58" t="str">
        <x:v>P1</x:v>
      </x:c>
    </x:row>
    <x:row r="39" ht="34" customHeight="1">
      <x:c r="A39" s="57" t="n">
        <x:v>20</x:v>
      </x:c>
      <x:c r="B39" s="98" t="str">
        <x:v>Hybrid Multi-Cloud Networking &amp; Gemini Enterprise</x:v>
      </x:c>
      <x:c r="C39" s="98" t="str">
        <x:v>Cloud Platform &amp; Networking</x:v>
      </x:c>
      <x:c r="D39" s="98" t="str">
        <x:v>Hybrid connectivity; multi-cloud; routing; zero trust; observability</x:v>
      </x:c>
      <x:c r="E39" s="98" t="str">
        <x:v>Existing</x:v>
      </x:c>
      <x:c r="F39" s="98" t="str">
        <x:v>P0 REBUILD</x:v>
      </x:c>
      <x:c r="G39" s="58" t="str">
        <x:v>P0</x:v>
      </x:c>
    </x:row>
    <x:row r="40" ht="34" customHeight="1">
      <x:c r="A40" s="57" t="n">
        <x:v>21</x:v>
      </x:c>
      <x:c r="B40" s="98" t="str">
        <x:v>Agentic AI Evaluation, Safety &amp; Optimization Platform</x:v>
      </x:c>
      <x:c r="C40" s="98" t="str">
        <x:v>AI &amp; Agentic</x:v>
      </x:c>
      <x:c r="D40" s="98" t="str">
        <x:v>Evaluation; safety; optimization; red teaming</x:v>
      </x:c>
      <x:c r="E40" s="98" t="str">
        <x:v>Existing</x:v>
      </x:c>
      <x:c r="F40" s="98" t="str">
        <x:v>KEEP + UPDATE</x:v>
      </x:c>
      <x:c r="G40" s="58" t="str">
        <x:v>P1</x:v>
      </x:c>
    </x:row>
    <x:row r="41" ht="34" customHeight="1">
      <x:c r="A41" s="57" t="n">
        <x:v>22</x:v>
      </x:c>
      <x:c r="B41" s="98" t="str">
        <x:v>AI Security, Risk &amp; Guardrail Architecture</x:v>
      </x:c>
      <x:c r="C41" s="98" t="str">
        <x:v>AI &amp; Agentic</x:v>
      </x:c>
      <x:c r="D41" s="98" t="str">
        <x:v>Policy; risk tiers; runtime protection; audit; approvals</x:v>
      </x:c>
      <x:c r="E41" s="98" t="str">
        <x:v>Existing</x:v>
      </x:c>
      <x:c r="F41" s="98" t="str">
        <x:v>CHANGE</x:v>
      </x:c>
      <x:c r="G41" s="58" t="str">
        <x:v>P1</x:v>
      </x:c>
    </x:row>
    <x:row r="42" ht="34" customHeight="1">
      <x:c r="A42" s="57" t="n">
        <x:v>23</x:v>
      </x:c>
      <x:c r="B42" s="98" t="str">
        <x:v>AI Agent Approval Workflow &amp; Human-in-the-Loop Governance</x:v>
      </x:c>
      <x:c r="C42" s="98" t="str">
        <x:v>AI &amp; Agentic</x:v>
      </x:c>
      <x:c r="D42" s="98" t="str">
        <x:v>Human approval; escalation; risk gates; audit</x:v>
      </x:c>
      <x:c r="E42" s="98" t="str">
        <x:v>Existing</x:v>
      </x:c>
      <x:c r="F42" s="98" t="str">
        <x:v>KEEP</x:v>
      </x:c>
      <x:c r="G42" s="58" t="str">
        <x:v>P2</x:v>
      </x:c>
    </x:row>
    <x:row r="43" ht="34" customHeight="1">
      <x:c r="A43" s="57" t="n">
        <x:v>24</x:v>
      </x:c>
      <x:c r="B43" s="98" t="str">
        <x:v>Enterprise DevSecOps Software Supply Chain &amp; CI/CD</x:v>
      </x:c>
      <x:c r="C43" s="98" t="str">
        <x:v>DevSecOps &amp; Release</x:v>
      </x:c>
      <x:c r="D43" s="98" t="str">
        <x:v>Source; build; test; artifact; policy; deploy; rollback</x:v>
      </x:c>
      <x:c r="E43" s="98" t="str">
        <x:v>Existing</x:v>
      </x:c>
      <x:c r="F43" s="98" t="str">
        <x:v>REBUILD</x:v>
      </x:c>
      <x:c r="G43" s="58" t="str">
        <x:v>P0</x:v>
      </x:c>
    </x:row>
    <x:row r="44" ht="34" customHeight="1">
      <x:c r="A44" s="57" t="n">
        <x:v>25</x:v>
      </x:c>
      <x:c r="B44" s="98" t="str">
        <x:v>Enterprise Event Mesh: Pub/Sub, Kafka &amp; Cross-Platform Integration</x:v>
      </x:c>
      <x:c r="C44" s="98" t="str">
        <x:v>Application &amp; Integration</x:v>
      </x:c>
      <x:c r="D44" s="98" t="str">
        <x:v>Pub/Sub; Kafka; schema; replay; DLQ; bridge</x:v>
      </x:c>
      <x:c r="E44" s="98" t="str">
        <x:v>Existing</x:v>
      </x:c>
      <x:c r="F44" s="98" t="str">
        <x:v>KEEP + CHANGE</x:v>
      </x:c>
      <x:c r="G44" s="58" t="str">
        <x:v>P1</x:v>
      </x:c>
    </x:row>
    <x:row r="45" ht="34" customHeight="1">
      <x:c r="A45" s="57" t="n">
        <x:v>26</x:v>
      </x:c>
      <x:c r="B45" s="98" t="str">
        <x:v>Google Cloud Serverless Event-Driven Architecture</x:v>
      </x:c>
      <x:c r="C45" s="98" t="str">
        <x:v>Application &amp; Integration</x:v>
      </x:c>
      <x:c r="D45" s="98" t="str">
        <x:v>Eventarc; Pub/Sub; Cloud Run; DLQ; analytics; AI</x:v>
      </x:c>
      <x:c r="E45" s="98" t="str">
        <x:v>Existing</x:v>
      </x:c>
      <x:c r="F45" s="98" t="str">
        <x:v>KEEP — REFERENCE</x:v>
      </x:c>
      <x:c r="G45" s="58" t="str">
        <x:v>P2</x:v>
      </x:c>
    </x:row>
    <x:row r="46" ht="34" customHeight="1">
      <x:c r="A46" s="57" t="n">
        <x:v>27</x:v>
      </x:c>
      <x:c r="B46" s="98" t="str">
        <x:v>Enterprise Multimodal Ingestion &amp; Content Understanding</x:v>
      </x:c>
      <x:c r="C46" s="98" t="str">
        <x:v>Data &amp; Analytics</x:v>
      </x:c>
      <x:c r="D46" s="98" t="str">
        <x:v>Documents; images; audio; metadata; extraction; validation</x:v>
      </x:c>
      <x:c r="E46" s="98" t="str">
        <x:v>Existing</x:v>
      </x:c>
      <x:c r="F46" s="98" t="str">
        <x:v>KEEP + CHANGE</x:v>
      </x:c>
      <x:c r="G46" s="58" t="str">
        <x:v>P1</x:v>
      </x:c>
    </x:row>
    <x:row r="47" ht="34" customHeight="1">
      <x:c r="A47" s="57" t="n">
        <x:v>28</x:v>
      </x:c>
      <x:c r="B47" s="98" t="str">
        <x:v>Real-Time Streaming Analytics Architecture</x:v>
      </x:c>
      <x:c r="C47" s="98" t="str">
        <x:v>Data &amp; Analytics</x:v>
      </x:c>
      <x:c r="D47" s="98" t="str">
        <x:v>Streaming; event time; idempotency; serving; alerts</x:v>
      </x:c>
      <x:c r="E47" s="98" t="str">
        <x:v>Existing</x:v>
      </x:c>
      <x:c r="F47" s="98" t="str">
        <x:v>KEEP</x:v>
      </x:c>
      <x:c r="G47" s="58" t="str">
        <x:v>P2</x:v>
      </x:c>
    </x:row>
    <x:row r="48" ht="34" customHeight="1">
      <x:c r="A48" s="57" t="n">
        <x:v>29</x:v>
      </x:c>
      <x:c r="B48" s="98" t="str">
        <x:v>6Rs Application Migration Disposition Matrix</x:v>
      </x:c>
      <x:c r="C48" s="98" t="str">
        <x:v>Enterprise Strategy &amp; Transformation</x:v>
      </x:c>
      <x:c r="D48" s="98" t="str">
        <x:v>Disposition; migration strategy; risk; wave planning</x:v>
      </x:c>
      <x:c r="E48" s="98" t="str">
        <x:v>Existing</x:v>
      </x:c>
      <x:c r="F48" s="98" t="str">
        <x:v>KEEP + NORMALIZE</x:v>
      </x:c>
      <x:c r="G48" s="58" t="str">
        <x:v>P2</x:v>
      </x:c>
    </x:row>
    <x:row r="49" ht="34" customHeight="1">
      <x:c r="A49" s="57" t="n">
        <x:v>30</x:v>
      </x:c>
      <x:c r="B49" s="98" t="str">
        <x:v>Enterprise SRE, Observability &amp; Reliability Architecture</x:v>
      </x:c>
      <x:c r="C49" s="98" t="str">
        <x:v>Reliability &amp; Operations</x:v>
      </x:c>
      <x:c r="D49" s="98" t="str">
        <x:v>Telemetry; SLO; alerting; incident; error budgets</x:v>
      </x:c>
      <x:c r="E49" s="98" t="str">
        <x:v>Existing</x:v>
      </x:c>
      <x:c r="F49" s="98" t="str">
        <x:v>REBUILD</x:v>
      </x:c>
      <x:c r="G49" s="58" t="str">
        <x:v>P0</x:v>
      </x:c>
    </x:row>
    <x:row r="50" ht="34" customHeight="1">
      <x:c r="A50" s="57" t="n">
        <x:v>31</x:v>
      </x:c>
      <x:c r="B50" s="98" t="str">
        <x:v>Go-Live Cutover &amp; War Room Runbook</x:v>
      </x:c>
      <x:c r="C50" s="98" t="str">
        <x:v>DevSecOps &amp; Release</x:v>
      </x:c>
      <x:c r="D50" s="98" t="str">
        <x:v>Cutover; go/no-go; verification; rollback; hypercare</x:v>
      </x:c>
      <x:c r="E50" s="98" t="str">
        <x:v>Existing</x:v>
      </x:c>
      <x:c r="F50" s="98" t="str">
        <x:v>KEEP — REFERENCE</x:v>
      </x:c>
      <x:c r="G50" s="58" t="str">
        <x:v>P2</x:v>
      </x:c>
    </x:row>
    <x:row r="51" ht="34" customHeight="1">
      <x:c r="A51" s="57" t="n">
        <x:v>32</x:v>
      </x:c>
      <x:c r="B51" s="98" t="str">
        <x:v>Incident Triage, Escalation &amp; SRE Response Swimlane</x:v>
      </x:c>
      <x:c r="C51" s="98" t="str">
        <x:v>Reliability &amp; Operations</x:v>
      </x:c>
      <x:c r="D51" s="98" t="str">
        <x:v>Triage; severity; ownership; escalation; postmortem</x:v>
      </x:c>
      <x:c r="E51" s="98" t="str">
        <x:v>Existing</x:v>
      </x:c>
      <x:c r="F51" s="98" t="str">
        <x:v>KEEP + CHANGE</x:v>
      </x:c>
      <x:c r="G51" s="58" t="str">
        <x:v>P1</x:v>
      </x:c>
    </x:row>
    <x:row r="52" ht="34" customHeight="1">
      <x:c r="A52" s="57" t="n">
        <x:v>33</x:v>
      </x:c>
      <x:c r="B52" s="98" t="str">
        <x:v>LLM Capacity, Quota &amp; Provisioned Throughput Architecture</x:v>
      </x:c>
      <x:c r="C52" s="98" t="str">
        <x:v>AI &amp; Agentic</x:v>
      </x:c>
      <x:c r="D52" s="98" t="str">
        <x:v>Quota; throughput; rate limiting; queuing; fallback</x:v>
      </x:c>
      <x:c r="E52" s="98" t="str">
        <x:v>Existing</x:v>
      </x:c>
      <x:c r="F52" s="98" t="str">
        <x:v>REBUILD</x:v>
      </x:c>
      <x:c r="G52" s="58" t="str">
        <x:v>P0</x:v>
      </x:c>
    </x:row>
    <x:row r="53" ht="34" customHeight="1">
      <x:c r="A53" s="57" t="n">
        <x:v>34</x:v>
      </x:c>
      <x:c r="B53" s="98" t="str">
        <x:v>Enterprise AI Center of Excellence Operating Model</x:v>
      </x:c>
      <x:c r="C53" s="98" t="str">
        <x:v>Strategy &amp; Operating Model</x:v>
      </x:c>
      <x:c r="D53" s="98" t="str">
        <x:v>Governance; intake; roles; standards; enablement; value</x:v>
      </x:c>
      <x:c r="E53" s="98" t="str">
        <x:v>Existing</x:v>
      </x:c>
      <x:c r="F53" s="98" t="str">
        <x:v>KEEP + CHANGE</x:v>
      </x:c>
      <x:c r="G53" s="58" t="str">
        <x:v>P1</x:v>
      </x:c>
    </x:row>
    <x:row r="54" ht="34" customHeight="1">
      <x:c r="A54" s="57" t="n">
        <x:v>35</x:v>
      </x:c>
      <x:c r="B54" s="98" t="str">
        <x:v>LLMOps Prompt, Evaluation &amp; Release Lifecycle</x:v>
      </x:c>
      <x:c r="C54" s="98" t="str">
        <x:v>AI &amp; Agentic</x:v>
      </x:c>
      <x:c r="D54" s="98" t="str">
        <x:v>Prompt versioning; evaluation; approval; release; rollback</x:v>
      </x:c>
      <x:c r="E54" s="98" t="str">
        <x:v>Existing</x:v>
      </x:c>
      <x:c r="F54" s="98" t="str">
        <x:v>CHANGE</x:v>
      </x:c>
      <x:c r="G54" s="58" t="str">
        <x:v>P1</x:v>
      </x:c>
    </x:row>
    <x:row r="55" ht="34" customHeight="1">
      <x:c r="A55" s="57" t="n">
        <x:v>36</x:v>
      </x:c>
      <x:c r="B55" s="98" t="str">
        <x:v>DataOps, Data Quality &amp; Anomaly Detection Architecture</x:v>
      </x:c>
      <x:c r="C55" s="98" t="str">
        <x:v>Data &amp; Analytics</x:v>
      </x:c>
      <x:c r="D55" s="98" t="str">
        <x:v>Data quality; anomaly detection; lineage; remediation</x:v>
      </x:c>
      <x:c r="E55" s="98" t="str">
        <x:v>Existing</x:v>
      </x:c>
      <x:c r="F55" s="98" t="str">
        <x:v>KEEP + UPDATE</x:v>
      </x:c>
      <x:c r="G55" s="58" t="str">
        <x:v>P1</x:v>
      </x:c>
    </x:row>
    <x:row r="56" ht="34" customHeight="1">
      <x:c r="A56" s="57" t="n">
        <x:v>37</x:v>
      </x:c>
      <x:c r="B56" s="98" t="str">
        <x:v>Multi-Region Active-Passive Disaster Recovery</x:v>
      </x:c>
      <x:c r="C56" s="98" t="str">
        <x:v>Reliability &amp; Operations</x:v>
      </x:c>
      <x:c r="D56" s="98" t="str">
        <x:v>Failover; replication; RTO/RPO; failback; testing</x:v>
      </x:c>
      <x:c r="E56" s="98" t="str">
        <x:v>Existing</x:v>
      </x:c>
      <x:c r="F56" s="98" t="str">
        <x:v>P0 REBUILD</x:v>
      </x:c>
      <x:c r="G56" s="58" t="str">
        <x:v>P0</x:v>
      </x:c>
    </x:row>
    <x:row r="57" ht="34" customHeight="1">
      <x:c r="A57" s="57" t="n">
        <x:v>38</x:v>
      </x:c>
      <x:c r="B57" s="98" t="str">
        <x:v>AI-Assisted Personalized Financial Advising Architecture</x:v>
      </x:c>
      <x:c r="C57" s="98" t="str">
        <x:v>Industry Solutions</x:v>
      </x:c>
      <x:c r="D57" s="98" t="str">
        <x:v>Financial advice; suitability; human oversight; audit</x:v>
      </x:c>
      <x:c r="E57" s="98" t="str">
        <x:v>Existing</x:v>
      </x:c>
      <x:c r="F57" s="98" t="str">
        <x:v>KEEP + UPDATE</x:v>
      </x:c>
      <x:c r="G57" s="58" t="str">
        <x:v>P1</x:v>
      </x:c>
    </x:row>
    <x:row r="58" ht="34" customHeight="1">
      <x:c r="A58" s="57" t="n">
        <x:v>39</x:v>
      </x:c>
      <x:c r="B58" s="98" t="str">
        <x:v>Equipment Predictive Maintenance &amp; Closed-Loop Service Architecture</x:v>
      </x:c>
      <x:c r="C58" s="98" t="str">
        <x:v>Industry Solutions</x:v>
      </x:c>
      <x:c r="D58" s="98" t="str">
        <x:v>Asset telemetry; condition monitoring; prediction; work orders</x:v>
      </x:c>
      <x:c r="E58" s="98" t="str">
        <x:v>Existing</x:v>
      </x:c>
      <x:c r="F58" s="98" t="str">
        <x:v>DIFFERENTIATE</x:v>
      </x:c>
      <x:c r="G58" s="58" t="str">
        <x:v>P0</x:v>
      </x:c>
    </x:row>
    <x:row r="59" ht="34" customHeight="1">
      <x:c r="A59" s="57" t="n">
        <x:v>40</x:v>
      </x:c>
      <x:c r="B59" s="98" t="str">
        <x:v>Pharma Genomics &amp; AI-Assisted Drug Discovery Architecture</x:v>
      </x:c>
      <x:c r="C59" s="98" t="str">
        <x:v>Industry Solutions</x:v>
      </x:c>
      <x:c r="D59" s="98" t="str">
        <x:v>Genomics; scientific AI; regulated data; audit</x:v>
      </x:c>
      <x:c r="E59" s="98" t="str">
        <x:v>Existing</x:v>
      </x:c>
      <x:c r="F59" s="98" t="str">
        <x:v>KEEP + UPDATE</x:v>
      </x:c>
      <x:c r="G59" s="58" t="str">
        <x:v>P1</x:v>
      </x:c>
    </x:row>
    <x:row r="60" ht="34" customHeight="1">
      <x:c r="A60" s="57" t="n">
        <x:v>41</x:v>
      </x:c>
      <x:c r="B60" s="98" t="str">
        <x:v>Omnichannel Intelligent Commerce &amp; Retail AI Architecture</x:v>
      </x:c>
      <x:c r="C60" s="98" t="str">
        <x:v>Industry Solutions</x:v>
      </x:c>
      <x:c r="D60" s="98" t="str">
        <x:v>Commerce; inventory; customer data; personalization</x:v>
      </x:c>
      <x:c r="E60" s="98" t="str">
        <x:v>Existing</x:v>
      </x:c>
      <x:c r="F60" s="98" t="str">
        <x:v>KEEP</x:v>
      </x:c>
      <x:c r="G60" s="58" t="str">
        <x:v>P2</x:v>
      </x:c>
    </x:row>
    <x:row r="61" ht="34" customHeight="1">
      <x:c r="A61" s="57" t="n">
        <x:v>42</x:v>
      </x:c>
      <x:c r="B61" s="98" t="str">
        <x:v>Smart Factory Digital Twin &amp; Edge-to-Cloud Operations Platform</x:v>
      </x:c>
      <x:c r="C61" s="98" t="str">
        <x:v>Industry Solutions</x:v>
      </x:c>
      <x:c r="D61" s="98" t="str">
        <x:v>ISA-95; OT/IT; edge; MES/SCADA; digital twin; operations</x:v>
      </x:c>
      <x:c r="E61" s="98" t="str">
        <x:v>Existing</x:v>
      </x:c>
      <x:c r="F61" s="98" t="str">
        <x:v>DIFFERENTIATE</x:v>
      </x:c>
      <x:c r="G61" s="58" t="str">
        <x:v>P0</x:v>
      </x:c>
    </x:row>
    <x:row r="62" ht="34" customHeight="1">
      <x:c r="A62" s="57" t="n">
        <x:v>43</x:v>
      </x:c>
      <x:c r="B62" s="98" t="str">
        <x:v>Workforce AI &amp; People Intelligence Platform</x:v>
      </x:c>
      <x:c r="C62" s="98" t="str">
        <x:v>Industry Solutions</x:v>
      </x:c>
      <x:c r="D62" s="98" t="str">
        <x:v>HR data; talent intelligence; fairness; privacy; human review</x:v>
      </x:c>
      <x:c r="E62" s="98" t="str">
        <x:v>Existing</x:v>
      </x:c>
      <x:c r="F62" s="98" t="str">
        <x:v>KEEP + UPDATE</x:v>
      </x:c>
      <x:c r="G62" s="58" t="str">
        <x:v>P1</x:v>
      </x:c>
    </x:row>
    <x:row r="63" ht="34" customHeight="1">
      <x:c r="A63" s="57" t="n">
        <x:v>44</x:v>
      </x:c>
      <x:c r="B63" s="98" t="str">
        <x:v>Healthcare Interoperability, FHIR/HL7 &amp; Clinical AI Platform</x:v>
      </x:c>
      <x:c r="C63" s="98" t="str">
        <x:v>Industry Solutions</x:v>
      </x:c>
      <x:c r="D63" s="98" t="str">
        <x:v>FHIR/HL7; clinical data; analytics; AI; governance</x:v>
      </x:c>
      <x:c r="E63" s="98" t="str">
        <x:v>Existing</x:v>
      </x:c>
      <x:c r="F63" s="98" t="str">
        <x:v>REBUILD / POLISH</x:v>
      </x:c>
      <x:c r="G63" s="58" t="str">
        <x:v>P0</x:v>
      </x:c>
    </x:row>
    <x:row r="64" ht="34" customHeight="1">
      <x:c r="A64" s="57" t="n">
        <x:v>45</x:v>
      </x:c>
      <x:c r="B64" s="98" t="str">
        <x:v>C4 System Context &amp; Container Model</x:v>
      </x:c>
      <x:c r="C64" s="98" t="str">
        <x:v>Architecture Standards</x:v>
      </x:c>
      <x:c r="D64" s="98" t="str">
        <x:v>System context; containers; relationships</x:v>
      </x:c>
      <x:c r="E64" s="98" t="str">
        <x:v>Existing</x:v>
      </x:c>
      <x:c r="F64" s="98" t="str">
        <x:v>KEEP</x:v>
      </x:c>
      <x:c r="G64" s="58" t="str">
        <x:v>P2</x:v>
      </x:c>
    </x:row>
    <x:row r="65" ht="34" customHeight="1">
      <x:c r="A65" s="57" t="n">
        <x:v>46</x:v>
      </x:c>
      <x:c r="B65" s="98" t="str">
        <x:v>C4 Level 3 Component &amp; Microservice LLD</x:v>
      </x:c>
      <x:c r="C65" s="98" t="str">
        <x:v>Architecture Standards</x:v>
      </x:c>
      <x:c r="D65" s="98" t="str">
        <x:v>Components; interfaces; dependencies; technology</x:v>
      </x:c>
      <x:c r="E65" s="98" t="str">
        <x:v>Existing</x:v>
      </x:c>
      <x:c r="F65" s="98" t="str">
        <x:v>CHANGE</x:v>
      </x:c>
      <x:c r="G65" s="58" t="str">
        <x:v>P1</x:v>
      </x:c>
    </x:row>
    <x:row r="66" ht="34" customHeight="1">
      <x:c r="A66" s="57" t="n">
        <x:v>47</x:v>
      </x:c>
      <x:c r="B66" s="98" t="str">
        <x:v>BPMN 2.0 Business Process &amp; Autonomous Workflow</x:v>
      </x:c>
      <x:c r="C66" s="98" t="str">
        <x:v>Architecture Standards</x:v>
      </x:c>
      <x:c r="D66" s="98" t="str">
        <x:v>Process; roles; gateways; events; automation</x:v>
      </x:c>
      <x:c r="E66" s="98" t="str">
        <x:v>Existing</x:v>
      </x:c>
      <x:c r="F66" s="98" t="str">
        <x:v>KEEP</x:v>
      </x:c>
      <x:c r="G66" s="58" t="str">
        <x:v>P2</x:v>
      </x:c>
    </x:row>
    <x:row r="67" ht="34" customHeight="1">
      <x:c r="A67" s="57" t="n">
        <x:v>48</x:v>
      </x:c>
      <x:c r="B67" s="98" t="str">
        <x:v>STRIDE Threat Model, Trust Boundaries &amp; Mitigation Map</x:v>
      </x:c>
      <x:c r="C67" s="98" t="str">
        <x:v>Security &amp; Identity</x:v>
      </x:c>
      <x:c r="D67" s="98" t="str">
        <x:v>STRIDE; trust boundaries; threats; mitigations</x:v>
      </x:c>
      <x:c r="E67" s="98" t="str">
        <x:v>Existing</x:v>
      </x:c>
      <x:c r="F67" s="98" t="str">
        <x:v>KEEP + CHANGE</x:v>
      </x:c>
      <x:c r="G67" s="58" t="str">
        <x:v>P1</x:v>
      </x:c>
    </x:row>
    <x:row r="68" ht="34" customHeight="1">
      <x:c r="A68" s="57" t="n">
        <x:v>49</x:v>
      </x:c>
      <x:c r="B68" s="98" t="str">
        <x:v>Column-Level Data Lineage, Transformations &amp; Provenance</x:v>
      </x:c>
      <x:c r="C68" s="98" t="str">
        <x:v>Data &amp; Analytics</x:v>
      </x:c>
      <x:c r="D68" s="98" t="str">
        <x:v>Lineage; transformations; provenance; ownership; classification</x:v>
      </x:c>
      <x:c r="E68" s="98" t="str">
        <x:v>Existing</x:v>
      </x:c>
      <x:c r="F68" s="98" t="str">
        <x:v>KEEP + UPDATE</x:v>
      </x:c>
      <x:c r="G68" s="58" t="str">
        <x:v>P1</x:v>
      </x:c>
    </x:row>
    <x:row r="69" ht="34" customHeight="1">
      <x:c r="A69" s="57" t="n">
        <x:v>50</x:v>
      </x:c>
      <x:c r="B69" s="98" t="str">
        <x:v>Enterprise MCP Gateway on Google Cloud</x:v>
      </x:c>
      <x:c r="C69" s="98" t="str">
        <x:v>AI &amp; Agentic</x:v>
      </x:c>
      <x:c r="D69" s="98" t="str">
        <x:v>MCP; gateway; auth; policy; tools; remote servers; audit</x:v>
      </x:c>
      <x:c r="E69" s="98" t="str">
        <x:v>Existing</x:v>
      </x:c>
      <x:c r="F69" s="98" t="str">
        <x:v>P0 REBUILD</x:v>
      </x:c>
      <x:c r="G69" s="58" t="str">
        <x:v>P0</x:v>
      </x:c>
    </x:row>
    <x:row r="70" ht="34" customHeight="1">
      <x:c r="A70" s="57" t="n">
        <x:v>51</x:v>
      </x:c>
      <x:c r="B70" s="98" t="str">
        <x:v>Enterprise API Management &amp; Integration Architecture</x:v>
      </x:c>
      <x:c r="C70" s="98" t="str">
        <x:v>Application &amp; Integration</x:v>
      </x:c>
      <x:c r="D70" s="98" t="str">
        <x:v>Apigee/API Gateway; auth; quotas; routing; mediation; observability; consumers</x:v>
      </x:c>
      <x:c r="E70" s="98" t="str">
        <x:v>Proposed</x:v>
      </x:c>
      <x:c r="F70" s="98" t="str">
        <x:v>ADD</x:v>
      </x:c>
      <x:c r="G70" s="58" t="str">
        <x:v>P0</x:v>
      </x:c>
    </x:row>
    <x:row r="71" ht="34" customHeight="1">
      <x:c r="A71" s="57" t="n">
        <x:v>52</x:v>
      </x:c>
      <x:c r="B71" s="98" t="str">
        <x:v>GKE / Kubernetes Enterprise Platform Architecture</x:v>
      </x:c>
      <x:c r="C71" s="98" t="str">
        <x:v>Cloud Platform &amp; Networking</x:v>
      </x:c>
      <x:c r="D71" s="98" t="str">
        <x:v>GKE; ingress; service mesh; workload identity; policy; autoscaling; registry; observability</x:v>
      </x:c>
      <x:c r="E71" s="98" t="str">
        <x:v>Proposed</x:v>
      </x:c>
      <x:c r="F71" s="98" t="str">
        <x:v>ADD</x:v>
      </x:c>
      <x:c r="G71" s="58" t="str">
        <x:v>P0</x:v>
      </x:c>
    </x:row>
    <x:row r="72" ht="34" customHeight="1">
      <x:c r="A72" s="57" t="n">
        <x:v>53</x:v>
      </x:c>
      <x:c r="B72" s="98" t="str">
        <x:v>Highly Available Multi-Region Application Architecture</x:v>
      </x:c>
      <x:c r="C72" s="98" t="str">
        <x:v>Reliability &amp; Operations</x:v>
      </x:c>
      <x:c r="D72" s="98" t="str">
        <x:v>Multi-region HA; load balancing; replication; health checks; failure domains</x:v>
      </x:c>
      <x:c r="E72" s="98" t="str">
        <x:v>Proposed</x:v>
      </x:c>
      <x:c r="F72" s="98" t="str">
        <x:v>ADD</x:v>
      </x:c>
      <x:c r="G72" s="58" t="str">
        <x:v>P0</x:v>
      </x:c>
    </x:row>
    <x:row r="73" ht="34" customHeight="1">
      <x:c r="A73" s="57" t="n">
        <x:v>54</x:v>
      </x:c>
      <x:c r="B73" s="98" t="str">
        <x:v>Enterprise ETL/ELT &amp; CDC Data Pipeline Architecture</x:v>
      </x:c>
      <x:c r="C73" s="98" t="str">
        <x:v>Data &amp; Analytics</x:v>
      </x:c>
      <x:c r="D73" s="98" t="str">
        <x:v>CDC; batch; ETL/ELT; orchestration; quality; warehouse/lake; lineage</x:v>
      </x:c>
      <x:c r="E73" s="98" t="str">
        <x:v>Proposed</x:v>
      </x:c>
      <x:c r="F73" s="98" t="str">
        <x:v>ADD</x:v>
      </x:c>
      <x:c r="G73" s="58" t="str">
        <x:v>P0</x:v>
      </x:c>
    </x:row>
    <x:row r="74" ht="34" customHeight="1">
      <x:c r="A74" s="57" t="n">
        <x:v>55</x:v>
      </x:c>
      <x:c r="B74" s="98" t="str">
        <x:v>Workload Identity &amp; Service-to-Service Authorization Architecture</x:v>
      </x:c>
      <x:c r="C74" s="98" t="str">
        <x:v>Security &amp; Identity</x:v>
      </x:c>
      <x:c r="D74" s="98" t="str">
        <x:v>Workload Identity; service accounts; OAuth/OIDC; mTLS; authorization; secrets</x:v>
      </x:c>
      <x:c r="E74" s="98" t="str">
        <x:v>Proposed</x:v>
      </x:c>
      <x:c r="F74" s="98" t="str">
        <x:v>ADD</x:v>
      </x:c>
      <x:c r="G74" s="58" t="str">
        <x:v>P1</x:v>
      </x:c>
    </x:row>
    <x:row r="75" ht="34" customHeight="1">
      <x:c r="A75" s="57" t="n">
        <x:v>56</x:v>
      </x:c>
      <x:c r="B75" s="98" t="str">
        <x:v>Private Ingress, Egress &amp; Service Connectivity Architecture</x:v>
      </x:c>
      <x:c r="C75" s="98" t="str">
        <x:v>Cloud Platform &amp; Networking</x:v>
      </x:c>
      <x:c r="D75" s="98" t="str">
        <x:v>Ingress; egress; Cloud Armor; load balancing; NAT; PSC; DNS; firewall policy</x:v>
      </x:c>
      <x:c r="E75" s="98" t="str">
        <x:v>Proposed</x:v>
      </x:c>
      <x:c r="F75" s="98" t="str">
        <x:v>ADD</x:v>
      </x:c>
      <x:c r="G75" s="58" t="str">
        <x:v>P1</x:v>
      </x:c>
    </x:row>
    <x:row r="76" ht="34" customHeight="1">
      <x:c r="A76" s="57" t="n">
        <x:v>57</x:v>
      </x:c>
      <x:c r="B76" s="98" t="str">
        <x:v>Enterprise MLOps Lifecycle Architecture</x:v>
      </x:c>
      <x:c r="C76" s="98" t="str">
        <x:v>AI &amp; Agentic</x:v>
      </x:c>
      <x:c r="D76" s="98" t="str">
        <x:v>Feature engineering; training; model registry; deployment; monitoring; retraining</x:v>
      </x:c>
      <x:c r="E76" s="98" t="str">
        <x:v>Proposed</x:v>
      </x:c>
      <x:c r="F76" s="98" t="str">
        <x:v>ADD</x:v>
      </x:c>
      <x:c r="G76" s="58" t="str">
        <x:v>P1</x:v>
      </x:c>
    </x:row>
    <x:row r="77" ht="34" customHeight="1">
      <x:c r="A77" s="57" t="n">
        <x:v>58</x:v>
      </x:c>
      <x:c r="B77" s="98" t="str">
        <x:v>GraphRAG / Knowledge Graph Architecture</x:v>
      </x:c>
      <x:c r="C77" s="98" t="str">
        <x:v>AI &amp; Agentic</x:v>
      </x:c>
      <x:c r="D77" s="98" t="str">
        <x:v>Knowledge graph; entity/relation extraction; hybrid retrieval; grounded reasoning</x:v>
      </x:c>
      <x:c r="E77" s="98" t="str">
        <x:v>Proposed</x:v>
      </x:c>
      <x:c r="F77" s="98" t="str">
        <x:v>ADD</x:v>
      </x:c>
      <x:c r="G77" s="58" t="str">
        <x:v>P1</x:v>
      </x:c>
    </x:row>
    <x:row r="78" ht="34" customHeight="1">
      <x:c r="A78" s="57" t="n">
        <x:v>59</x:v>
      </x:c>
      <x:c r="B78" s="98" t="str">
        <x:v>SaaS Multi-Tenant Application Architecture</x:v>
      </x:c>
      <x:c r="C78" s="98" t="str">
        <x:v>Application &amp; Integration</x:v>
      </x:c>
      <x:c r="D78" s="98" t="str">
        <x:v>Tenant routing; isolation; data partitioning; quotas; encryption; noisy neighbor</x:v>
      </x:c>
      <x:c r="E78" s="98" t="str">
        <x:v>Proposed</x:v>
      </x:c>
      <x:c r="F78" s="98" t="str">
        <x:v>ADD</x:v>
      </x:c>
      <x:c r="G78" s="58" t="str">
        <x:v>P2</x:v>
      </x:c>
    </x:row>
    <x:row r="79" ht="34" customHeight="1">
      <x:c r="A79" s="59" t="n">
        <x:v>60</x:v>
      </x:c>
      <x:c r="B79" s="99" t="str">
        <x:v>Intelligent Document Processing Platform</x:v>
      </x:c>
      <x:c r="C79" s="99" t="str">
        <x:v>Data &amp; Analytics</x:v>
      </x:c>
      <x:c r="D79" s="99" t="str">
        <x:v>Document ingestion; OCR/extraction; classification; validation; HITL; search/RAG</x:v>
      </x:c>
      <x:c r="E79" s="99" t="str">
        <x:v>Proposed</x:v>
      </x:c>
      <x:c r="F79" s="99" t="str">
        <x:v>ADD</x:v>
      </x:c>
      <x:c r="G79" s="60" t="str">
        <x:v>P2</x:v>
      </x:c>
    </x:row>
  </x:sheetData>
  <x:mergeCells>
    <x:mergeCell ref="A1:G1"/>
    <x:mergeCell ref="A2:G2"/>
    <x:mergeCell ref="A3:G3"/>
    <x:mergeCell ref="A4:G4"/>
  </x:mergeCells>
  <x:conditionalFormatting sqref="G20:G79">
    <x:cfRule type="cellIs" dxfId="15" priority="1">
      <x:formula>"P0"</x:formula>
    </x:cfRule>
    <x:cfRule type="cellIs" dxfId="16" priority="2">
      <x:formula>"P1"</x:formula>
    </x:cfRule>
    <x:cfRule type="cellIs" dxfId="17" priority="3">
      <x:formula>"P2"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8" hidden="0" customWidth="1"/>
    <x:col min="3" max="3" width="18" hidden="0" customWidth="1"/>
    <x:col min="4" max="4" width="30" hidden="0" customWidth="1"/>
    <x:col min="5" max="5" width="34" hidden="0" customWidth="1"/>
    <x:col min="6" max="6" width="25" hidden="0" customWidth="1"/>
    <x:col min="7" max="7" width="14" hidden="0" customWidth="1"/>
    <x:col min="8" max="8" width="32" hidden="0" customWidth="1"/>
  </x:cols>
  <x:sheetData>
    <x:row r="1" ht="28" customHeight="1">
      <x:c r="A1" s="4" t="str">
        <x:v>Dimension 3 — Architecture Profile Classification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1" t="str">
        <x:v>Self-contained profile metadata for all 60 catalog items. These are filters and generation controls, not top-level gallery categories.</x:v>
      </x:c>
      <x:c r="B2" s="11"/>
      <x:c r="C2" s="11"/>
      <x:c r="D2" s="11"/>
      <x:c r="E2" s="11"/>
      <x:c r="F2" s="11"/>
      <x:c r="G2" s="11"/>
      <x:c r="H2" s="11"/>
    </x:row>
    <x:row r="3" ht="28" customHeight="1">
      <x:c r="A3" s="18" t="str">
        <x:v>Abstraction: Conceptual = what/why; Logical = components/responsibilities; Deployment = runtime/network placement; Process = workflow/operations; Data Model = entities/relationships/lineage.</x:v>
      </x:c>
      <x:c r="B3" s="18"/>
      <x:c r="C3" s="18"/>
      <x:c r="D3" s="18"/>
      <x:c r="E3" s="18"/>
      <x:c r="F3" s="18"/>
      <x:c r="G3" s="18"/>
      <x:c r="H3" s="18"/>
    </x:row>
    <x:row r="4" ht="28" customHeight="1">
      <x:c r="A4" s="18" t="str">
        <x:v>Lifecycle: Discover → Define → Design → Build → Release → Operate → Optimize. Notation, Cloud Scope and Complexity are independent filters.</x:v>
      </x:c>
      <x:c r="B4" s="18"/>
      <x:c r="C4" s="18"/>
      <x:c r="D4" s="18"/>
      <x:c r="E4" s="18"/>
      <x:c r="F4" s="18"/>
      <x:c r="G4" s="18"/>
      <x:c r="H4" s="18"/>
    </x:row>
    <x:row r="6" ht="34" customHeight="1">
      <x:c r="A6" s="30" t="str">
        <x:v>Profile Dimension</x:v>
      </x:c>
      <x:c r="B6" s="135" t="str">
        <x:v>Allowed / Recommended Values</x:v>
      </x:c>
      <x:c r="C6" s="31" t="str">
        <x:v>Governance Rule</x:v>
      </x:c>
    </x:row>
    <x:row r="7">
      <x:c r="A7" s="55" t="str">
        <x:v>Abstraction</x:v>
      </x:c>
      <x:c r="B7" s="97" t="str">
        <x:v>Conceptual | Logical | Deployment | Process | Data Model</x:v>
      </x:c>
      <x:c r="C7" s="56" t="str">
        <x:v>Never use 'Industry' as an abstraction.</x:v>
      </x:c>
    </x:row>
    <x:row r="8">
      <x:c r="A8" s="57" t="str">
        <x:v>Lifecycle</x:v>
      </x:c>
      <x:c r="B8" s="98" t="str">
        <x:v>Discover | Define | Design | Build | Release | Operate | Optimize</x:v>
      </x:c>
      <x:c r="C8" s="58" t="str">
        <x:v>A template can span multiple lifecycle stages.</x:v>
      </x:c>
    </x:row>
    <x:row r="9">
      <x:c r="A9" s="57" t="str">
        <x:v>Notation</x:v>
      </x:c>
      <x:c r="B9" s="98" t="str">
        <x:v>Reference Architecture | Topology | Data Flow | C4 | UML Sequence | BPMN | ERD | Swimlane | Threat Model | Lineage | Operating Model</x:v>
      </x:c>
      <x:c r="C9" s="58" t="str">
        <x:v>Notation-sensitive templates should not be flattened by generic visual rules.</x:v>
      </x:c>
    </x:row>
    <x:row r="10">
      <x:c r="A10" s="57" t="str">
        <x:v>Cloud Scope</x:v>
      </x:c>
      <x:c r="B10" s="98" t="str">
        <x:v>Google Cloud | Hybrid | Multi-cloud | Cloud-agnostic</x:v>
      </x:c>
      <x:c r="C10" s="58" t="str">
        <x:v>Scope describes deployment applicability, not architecture domain.</x:v>
      </x:c>
    </x:row>
    <x:row r="11">
      <x:c r="A11" s="59" t="str">
        <x:v>Complexity</x:v>
      </x:c>
      <x:c r="B11" s="99" t="str">
        <x:v>Executive | Standard | Detailed</x:v>
      </x:c>
      <x:c r="C11" s="60" t="str">
        <x:v>Prefer customer-readable complexity over exposing internal stack-layer numbers.</x:v>
      </x:c>
    </x:row>
    <x:row r="13" ht="34" customHeight="1">
      <x:c r="A13" s="30" t="str">
        <x:v>#</x:v>
      </x:c>
      <x:c r="B13" s="135" t="str">
        <x:v>Blueprint</x:v>
      </x:c>
      <x:c r="C13" s="135" t="str">
        <x:v>Abstraction</x:v>
      </x:c>
      <x:c r="D13" s="135" t="str">
        <x:v>Lifecycle</x:v>
      </x:c>
      <x:c r="E13" s="135" t="str">
        <x:v>Notation</x:v>
      </x:c>
      <x:c r="F13" s="135" t="str">
        <x:v>Cloud Scope</x:v>
      </x:c>
      <x:c r="G13" s="135" t="str">
        <x:v>Complexity</x:v>
      </x:c>
      <x:c r="H13" s="31" t="str">
        <x:v>Canonical Domain</x:v>
      </x:c>
    </x:row>
    <x:row r="14" ht="34" customHeight="1">
      <x:c r="A14" s="55" t="n">
        <x:v>1</x:v>
      </x:c>
      <x:c r="B14" s="97" t="str">
        <x:v>Legacy Data Dependency &amp; Migration Wave Map</x:v>
      </x:c>
      <x:c r="C14" s="97" t="str">
        <x:v>Conceptual</x:v>
      </x:c>
      <x:c r="D14" s="97" t="str">
        <x:v>Discover; Define</x:v>
      </x:c>
      <x:c r="E14" s="97" t="str">
        <x:v>Dependency Map / Migration Waves</x:v>
      </x:c>
      <x:c r="F14" s="97" t="str">
        <x:v>Hybrid</x:v>
      </x:c>
      <x:c r="G14" s="97" t="str">
        <x:v>Executive</x:v>
      </x:c>
      <x:c r="H14" s="56" t="str">
        <x:v>Enterprise Strategy &amp; Transformation</x:v>
      </x:c>
    </x:row>
    <x:row r="15" ht="34" customHeight="1">
      <x:c r="A15" s="57" t="n">
        <x:v>2</x:v>
      </x:c>
      <x:c r="B15" s="98" t="str">
        <x:v>Hybrid / Strangler Fig Transition Architecture</x:v>
      </x:c>
      <x:c r="C15" s="98" t="str">
        <x:v>Logical</x:v>
      </x:c>
      <x:c r="D15" s="98" t="str">
        <x:v>Design; Build</x:v>
      </x:c>
      <x:c r="E15" s="98" t="str">
        <x:v>Transition Architecture / Data Flow</x:v>
      </x:c>
      <x:c r="F15" s="98" t="str">
        <x:v>Hybrid</x:v>
      </x:c>
      <x:c r="G15" s="98" t="str">
        <x:v>Standard</x:v>
      </x:c>
      <x:c r="H15" s="58" t="str">
        <x:v>Application &amp; Integration</x:v>
      </x:c>
    </x:row>
    <x:row r="16" ht="34" customHeight="1">
      <x:c r="A16" s="57" t="n">
        <x:v>3</x:v>
      </x:c>
      <x:c r="B16" s="98" t="str">
        <x:v>Enterprise AI Delivery Value Stream Map</x:v>
      </x:c>
      <x:c r="C16" s="98" t="str">
        <x:v>Process</x:v>
      </x:c>
      <x:c r="D16" s="98" t="str">
        <x:v>Discover; Define</x:v>
      </x:c>
      <x:c r="E16" s="98" t="str">
        <x:v>Lean Value Stream Map</x:v>
      </x:c>
      <x:c r="F16" s="98" t="str">
        <x:v>Cloud-agnostic</x:v>
      </x:c>
      <x:c r="G16" s="98" t="str">
        <x:v>Executive</x:v>
      </x:c>
      <x:c r="H16" s="58" t="str">
        <x:v>Enterprise Strategy &amp; Transformation</x:v>
      </x:c>
    </x:row>
    <x:row r="17" ht="34" customHeight="1">
      <x:c r="A17" s="57" t="n">
        <x:v>4</x:v>
      </x:c>
      <x:c r="B17" s="98" t="str">
        <x:v>As-Is vs. To-Be Process &amp; Architecture Flow</x:v>
      </x:c>
      <x:c r="C17" s="98" t="str">
        <x:v>Conceptual</x:v>
      </x:c>
      <x:c r="D17" s="98" t="str">
        <x:v>Define; Design</x:v>
      </x:c>
      <x:c r="E17" s="98" t="str">
        <x:v>As-Is / To-Be Comparison</x:v>
      </x:c>
      <x:c r="F17" s="98" t="str">
        <x:v>Cloud-agnostic</x:v>
      </x:c>
      <x:c r="G17" s="98" t="str">
        <x:v>Executive</x:v>
      </x:c>
      <x:c r="H17" s="58" t="str">
        <x:v>Enterprise Strategy &amp; Transformation</x:v>
      </x:c>
    </x:row>
    <x:row r="18" ht="34" customHeight="1">
      <x:c r="A18" s="57" t="n">
        <x:v>5</x:v>
      </x:c>
      <x:c r="B18" s="98" t="str">
        <x:v>Google Cloud FinOps, Allocation &amp; Chargeback Architecture</x:v>
      </x:c>
      <x:c r="C18" s="98" t="str">
        <x:v>Logical</x:v>
      </x:c>
      <x:c r="D18" s="98" t="str">
        <x:v>Operate; Optimize</x:v>
      </x:c>
      <x:c r="E18" s="98" t="str">
        <x:v>Operating Model / Cost Flow</x:v>
      </x:c>
      <x:c r="F18" s="98" t="str">
        <x:v>Google Cloud</x:v>
      </x:c>
      <x:c r="G18" s="98" t="str">
        <x:v>Standard</x:v>
      </x:c>
      <x:c r="H18" s="58" t="str">
        <x:v>Strategy &amp; Operating Model</x:v>
      </x:c>
    </x:row>
    <x:row r="19" ht="34" customHeight="1">
      <x:c r="A19" s="57" t="n">
        <x:v>6</x:v>
      </x:c>
      <x:c r="B19" s="98" t="str">
        <x:v>Enterprise Reference Architecture</x:v>
      </x:c>
      <x:c r="C19" s="98" t="str">
        <x:v>Conceptual</x:v>
      </x:c>
      <x:c r="D19" s="98" t="str">
        <x:v>Define; Design</x:v>
      </x:c>
      <x:c r="E19" s="98" t="str">
        <x:v>Enterprise Reference Architecture</x:v>
      </x:c>
      <x:c r="F19" s="98" t="str">
        <x:v>Google Cloud / Hybrid</x:v>
      </x:c>
      <x:c r="G19" s="98" t="str">
        <x:v>Executive</x:v>
      </x:c>
      <x:c r="H19" s="58" t="str">
        <x:v>Architecture Standards</x:v>
      </x:c>
    </x:row>
    <x:row r="20" ht="34" customHeight="1">
      <x:c r="A20" s="57" t="n">
        <x:v>7</x:v>
      </x:c>
      <x:c r="B20" s="98" t="str">
        <x:v>Agentic RAG &amp; Grounded AI Architecture</x:v>
      </x:c>
      <x:c r="C20" s="98" t="str">
        <x:v>Logical</x:v>
      </x:c>
      <x:c r="D20" s="98" t="str">
        <x:v>Design; Build</x:v>
      </x:c>
      <x:c r="E20" s="98" t="str">
        <x:v>Reference Architecture / Data Flow</x:v>
      </x:c>
      <x:c r="F20" s="98" t="str">
        <x:v>Google Cloud</x:v>
      </x:c>
      <x:c r="G20" s="98" t="str">
        <x:v>Standard</x:v>
      </x:c>
      <x:c r="H20" s="58" t="str">
        <x:v>AI &amp; Agentic</x:v>
      </x:c>
    </x:row>
    <x:row r="21" ht="34" customHeight="1">
      <x:c r="A21" s="57" t="n">
        <x:v>8</x:v>
      </x:c>
      <x:c r="B21" s="98" t="str">
        <x:v>Hub-and-Spoke Multi-Agent Orchestration</x:v>
      </x:c>
      <x:c r="C21" s="98" t="str">
        <x:v>Logical</x:v>
      </x:c>
      <x:c r="D21" s="98" t="str">
        <x:v>Design; Build</x:v>
      </x:c>
      <x:c r="E21" s="98" t="str">
        <x:v>Agent Topology</x:v>
      </x:c>
      <x:c r="F21" s="98" t="str">
        <x:v>Google Cloud / Hybrid</x:v>
      </x:c>
      <x:c r="G21" s="98" t="str">
        <x:v>Standard</x:v>
      </x:c>
      <x:c r="H21" s="58" t="str">
        <x:v>AI &amp; Agentic</x:v>
      </x:c>
    </x:row>
    <x:row r="22" ht="34" customHeight="1">
      <x:c r="A22" s="57" t="n">
        <x:v>9</x:v>
      </x:c>
      <x:c r="B22" s="98" t="str">
        <x:v>Google Cloud Enterprise Data Lakehouse &amp; AI Consumption</x:v>
      </x:c>
      <x:c r="C22" s="98" t="str">
        <x:v>Logical</x:v>
      </x:c>
      <x:c r="D22" s="98" t="str">
        <x:v>Design; Build</x:v>
      </x:c>
      <x:c r="E22" s="98" t="str">
        <x:v>Reference Architecture / Data Flow</x:v>
      </x:c>
      <x:c r="F22" s="98" t="str">
        <x:v>Google Cloud</x:v>
      </x:c>
      <x:c r="G22" s="98" t="str">
        <x:v>Detailed</x:v>
      </x:c>
      <x:c r="H22" s="58" t="str">
        <x:v>Data &amp; Analytics</x:v>
      </x:c>
    </x:row>
    <x:row r="23" ht="34" customHeight="1">
      <x:c r="A23" s="57" t="n">
        <x:v>10</x:v>
      </x:c>
      <x:c r="B23" s="98" t="str">
        <x:v>Dimensional Data Model - Crow's Foot ERD</x:v>
      </x:c>
      <x:c r="C23" s="98" t="str">
        <x:v>Data Model</x:v>
      </x:c>
      <x:c r="D23" s="98" t="str">
        <x:v>Design; Build</x:v>
      </x:c>
      <x:c r="E23" s="98" t="str">
        <x:v>Crow's Foot ERD</x:v>
      </x:c>
      <x:c r="F23" s="98" t="str">
        <x:v>Cloud-agnostic</x:v>
      </x:c>
      <x:c r="G23" s="98" t="str">
        <x:v>Detailed</x:v>
      </x:c>
      <x:c r="H23" s="58" t="str">
        <x:v>Architecture Standards</x:v>
      </x:c>
    </x:row>
    <x:row r="24" ht="34" customHeight="1">
      <x:c r="A24" s="57" t="n">
        <x:v>11</x:v>
      </x:c>
      <x:c r="B24" s="98" t="str">
        <x:v>Unified Data Governance, Catalog &amp; Access Control</x:v>
      </x:c>
      <x:c r="C24" s="98" t="str">
        <x:v>Logical</x:v>
      </x:c>
      <x:c r="D24" s="98" t="str">
        <x:v>Design; Operate</x:v>
      </x:c>
      <x:c r="E24" s="98" t="str">
        <x:v>Governance Architecture</x:v>
      </x:c>
      <x:c r="F24" s="98" t="str">
        <x:v>Google Cloud</x:v>
      </x:c>
      <x:c r="G24" s="98" t="str">
        <x:v>Standard</x:v>
      </x:c>
      <x:c r="H24" s="58" t="str">
        <x:v>Data &amp; Analytics</x:v>
      </x:c>
    </x:row>
    <x:row r="25" ht="34" customHeight="1">
      <x:c r="A25" s="57" t="n">
        <x:v>12</x:v>
      </x:c>
      <x:c r="B25" s="98" t="str">
        <x:v>Federated Workforce Identity, SSO &amp; IAM Architecture</x:v>
      </x:c>
      <x:c r="C25" s="98" t="str">
        <x:v>Logical</x:v>
      </x:c>
      <x:c r="D25" s="98" t="str">
        <x:v>Design; Build</x:v>
      </x:c>
      <x:c r="E25" s="98" t="str">
        <x:v>IAM / Authentication Flow</x:v>
      </x:c>
      <x:c r="F25" s="98" t="str">
        <x:v>Hybrid</x:v>
      </x:c>
      <x:c r="G25" s="98" t="str">
        <x:v>Standard</x:v>
      </x:c>
      <x:c r="H25" s="58" t="str">
        <x:v>Security &amp; Identity</x:v>
      </x:c>
    </x:row>
    <x:row r="26" ht="34" customHeight="1">
      <x:c r="A26" s="57" t="n">
        <x:v>13</x:v>
      </x:c>
      <x:c r="B26" s="98" t="str">
        <x:v>Enterprise Micro-Frontend Architecture</x:v>
      </x:c>
      <x:c r="C26" s="98" t="str">
        <x:v>Logical</x:v>
      </x:c>
      <x:c r="D26" s="98" t="str">
        <x:v>Design; Build</x:v>
      </x:c>
      <x:c r="E26" s="98" t="str">
        <x:v>Component / Runtime Topology</x:v>
      </x:c>
      <x:c r="F26" s="98" t="str">
        <x:v>Cloud-agnostic</x:v>
      </x:c>
      <x:c r="G26" s="98" t="str">
        <x:v>Standard</x:v>
      </x:c>
      <x:c r="H26" s="58" t="str">
        <x:v>Application &amp; Integration</x:v>
      </x:c>
    </x:row>
    <x:row r="27" ht="34" customHeight="1">
      <x:c r="A27" s="57" t="n">
        <x:v>14</x:v>
      </x:c>
      <x:c r="B27" s="98" t="str">
        <x:v>Multi-Tenant AI Platform Isolation &amp; Configuration</x:v>
      </x:c>
      <x:c r="C27" s="98" t="str">
        <x:v>Logical</x:v>
      </x:c>
      <x:c r="D27" s="98" t="str">
        <x:v>Design; Build</x:v>
      </x:c>
      <x:c r="E27" s="98" t="str">
        <x:v>Tenant Topology</x:v>
      </x:c>
      <x:c r="F27" s="98" t="str">
        <x:v>Google Cloud</x:v>
      </x:c>
      <x:c r="G27" s="98" t="str">
        <x:v>Detailed</x:v>
      </x:c>
      <x:c r="H27" s="58" t="str">
        <x:v>AI &amp; Agentic</x:v>
      </x:c>
    </x:row>
    <x:row r="28" ht="34" customHeight="1">
      <x:c r="A28" s="57" t="n">
        <x:v>15</x:v>
      </x:c>
      <x:c r="B28" s="98" t="str">
        <x:v>Multi-Agent Execution Sequence Diagram</x:v>
      </x:c>
      <x:c r="C28" s="98" t="str">
        <x:v>Logical</x:v>
      </x:c>
      <x:c r="D28" s="98" t="str">
        <x:v>Design; Build</x:v>
      </x:c>
      <x:c r="E28" s="98" t="str">
        <x:v>UML Sequence</x:v>
      </x:c>
      <x:c r="F28" s="98" t="str">
        <x:v>Cloud-agnostic / Google Cloud</x:v>
      </x:c>
      <x:c r="G28" s="98" t="str">
        <x:v>Detailed</x:v>
      </x:c>
      <x:c r="H28" s="58" t="str">
        <x:v>AI &amp; Agentic</x:v>
      </x:c>
    </x:row>
    <x:row r="29" ht="34" customHeight="1">
      <x:c r="A29" s="57" t="n">
        <x:v>16</x:v>
      </x:c>
      <x:c r="B29" s="98" t="str">
        <x:v>Secure Google Cloud Deployment &amp; Trust Boundary Topology</x:v>
      </x:c>
      <x:c r="C29" s="98" t="str">
        <x:v>Deployment</x:v>
      </x:c>
      <x:c r="D29" s="98" t="str">
        <x:v>Design; Build</x:v>
      </x:c>
      <x:c r="E29" s="98" t="str">
        <x:v>Deployment / Trust Boundary Topology</x:v>
      </x:c>
      <x:c r="F29" s="98" t="str">
        <x:v>Google Cloud</x:v>
      </x:c>
      <x:c r="G29" s="98" t="str">
        <x:v>Detailed</x:v>
      </x:c>
      <x:c r="H29" s="58" t="str">
        <x:v>Security &amp; Identity</x:v>
      </x:c>
    </x:row>
    <x:row r="30" ht="34" customHeight="1">
      <x:c r="A30" s="57" t="n">
        <x:v>17</x:v>
      </x:c>
      <x:c r="B30" s="98" t="str">
        <x:v>Google Cloud Landing Zone &amp; Shared VPC Topology</x:v>
      </x:c>
      <x:c r="C30" s="98" t="str">
        <x:v>Deployment</x:v>
      </x:c>
      <x:c r="D30" s="98" t="str">
        <x:v>Design; Build</x:v>
      </x:c>
      <x:c r="E30" s="98" t="str">
        <x:v>Network / Resource Hierarchy Topology</x:v>
      </x:c>
      <x:c r="F30" s="98" t="str">
        <x:v>Google Cloud</x:v>
      </x:c>
      <x:c r="G30" s="98" t="str">
        <x:v>Detailed</x:v>
      </x:c>
      <x:c r="H30" s="58" t="str">
        <x:v>Cloud Platform &amp; Networking</x:v>
      </x:c>
    </x:row>
    <x:row r="31" ht="34" customHeight="1">
      <x:c r="A31" s="57" t="n">
        <x:v>18</x:v>
      </x:c>
      <x:c r="B31" s="98" t="str">
        <x:v>Data Residency, Sovereignty &amp; Administrative Access Architecture</x:v>
      </x:c>
      <x:c r="C31" s="98" t="str">
        <x:v>Deployment</x:v>
      </x:c>
      <x:c r="D31" s="98" t="str">
        <x:v>Define; Design</x:v>
      </x:c>
      <x:c r="E31" s="98" t="str">
        <x:v>Sovereignty / Boundary Map</x:v>
      </x:c>
      <x:c r="F31" s="98" t="str">
        <x:v>Hybrid / Multi-cloud</x:v>
      </x:c>
      <x:c r="G31" s="98" t="str">
        <x:v>Standard</x:v>
      </x:c>
      <x:c r="H31" s="58" t="str">
        <x:v>Security &amp; Identity</x:v>
      </x:c>
    </x:row>
    <x:row r="32" ht="34" customHeight="1">
      <x:c r="A32" s="57" t="n">
        <x:v>19</x:v>
      </x:c>
      <x:c r="B32" s="98" t="str">
        <x:v>Enterprise Agent Runtime Platform on Google Cloud</x:v>
      </x:c>
      <x:c r="C32" s="98" t="str">
        <x:v>Deployment</x:v>
      </x:c>
      <x:c r="D32" s="98" t="str">
        <x:v>Design; Build</x:v>
      </x:c>
      <x:c r="E32" s="98" t="str">
        <x:v>Platform Topology</x:v>
      </x:c>
      <x:c r="F32" s="98" t="str">
        <x:v>Google Cloud</x:v>
      </x:c>
      <x:c r="G32" s="98" t="str">
        <x:v>Detailed</x:v>
      </x:c>
      <x:c r="H32" s="58" t="str">
        <x:v>AI &amp; Agentic</x:v>
      </x:c>
    </x:row>
    <x:row r="33" ht="34" customHeight="1">
      <x:c r="A33" s="57" t="n">
        <x:v>20</x:v>
      </x:c>
      <x:c r="B33" s="98" t="str">
        <x:v>Hybrid Multi-Cloud Networking &amp; Gemini Enterprise</x:v>
      </x:c>
      <x:c r="C33" s="98" t="str">
        <x:v>Deployment</x:v>
      </x:c>
      <x:c r="D33" s="98" t="str">
        <x:v>Design; Build; Operate</x:v>
      </x:c>
      <x:c r="E33" s="98" t="str">
        <x:v>Network Topology</x:v>
      </x:c>
      <x:c r="F33" s="98" t="str">
        <x:v>Multi-cloud</x:v>
      </x:c>
      <x:c r="G33" s="98" t="str">
        <x:v>Detailed</x:v>
      </x:c>
      <x:c r="H33" s="58" t="str">
        <x:v>Cloud Platform &amp; Networking</x:v>
      </x:c>
    </x:row>
    <x:row r="34" ht="34" customHeight="1">
      <x:c r="A34" s="57" t="n">
        <x:v>21</x:v>
      </x:c>
      <x:c r="B34" s="98" t="str">
        <x:v>Agentic AI Evaluation, Safety &amp; Optimization Platform</x:v>
      </x:c>
      <x:c r="C34" s="98" t="str">
        <x:v>Logical</x:v>
      </x:c>
      <x:c r="D34" s="98" t="str">
        <x:v>Design; Operate; Optimize</x:v>
      </x:c>
      <x:c r="E34" s="98" t="str">
        <x:v>Evaluation Pipeline</x:v>
      </x:c>
      <x:c r="F34" s="98" t="str">
        <x:v>Google Cloud</x:v>
      </x:c>
      <x:c r="G34" s="98" t="str">
        <x:v>Detailed</x:v>
      </x:c>
      <x:c r="H34" s="58" t="str">
        <x:v>AI &amp; Agentic</x:v>
      </x:c>
    </x:row>
    <x:row r="35" ht="34" customHeight="1">
      <x:c r="A35" s="57" t="n">
        <x:v>22</x:v>
      </x:c>
      <x:c r="B35" s="98" t="str">
        <x:v>AI Security, Risk &amp; Guardrail Architecture</x:v>
      </x:c>
      <x:c r="C35" s="98" t="str">
        <x:v>Logical</x:v>
      </x:c>
      <x:c r="D35" s="98" t="str">
        <x:v>Define; Design; Operate</x:v>
      </x:c>
      <x:c r="E35" s="98" t="str">
        <x:v>Guardrail / Policy Pipeline</x:v>
      </x:c>
      <x:c r="F35" s="98" t="str">
        <x:v>Google Cloud</x:v>
      </x:c>
      <x:c r="G35" s="98" t="str">
        <x:v>Detailed</x:v>
      </x:c>
      <x:c r="H35" s="58" t="str">
        <x:v>AI &amp; Agentic</x:v>
      </x:c>
    </x:row>
    <x:row r="36" ht="34" customHeight="1">
      <x:c r="A36" s="57" t="n">
        <x:v>23</x:v>
      </x:c>
      <x:c r="B36" s="98" t="str">
        <x:v>AI Agent Approval Workflow &amp; Human-in-the-Loop Governance</x:v>
      </x:c>
      <x:c r="C36" s="98" t="str">
        <x:v>Process</x:v>
      </x:c>
      <x:c r="D36" s="98" t="str">
        <x:v>Define; Design; Operate</x:v>
      </x:c>
      <x:c r="E36" s="98" t="str">
        <x:v>Workflow / Swimlane</x:v>
      </x:c>
      <x:c r="F36" s="98" t="str">
        <x:v>Cloud-agnostic / Google Cloud</x:v>
      </x:c>
      <x:c r="G36" s="98" t="str">
        <x:v>Standard</x:v>
      </x:c>
      <x:c r="H36" s="58" t="str">
        <x:v>AI &amp; Agentic</x:v>
      </x:c>
    </x:row>
    <x:row r="37" ht="34" customHeight="1">
      <x:c r="A37" s="57" t="n">
        <x:v>24</x:v>
      </x:c>
      <x:c r="B37" s="98" t="str">
        <x:v>Enterprise DevSecOps Software Supply Chain &amp; CI/CD</x:v>
      </x:c>
      <x:c r="C37" s="98" t="str">
        <x:v>Deployment</x:v>
      </x:c>
      <x:c r="D37" s="98" t="str">
        <x:v>Build; Release</x:v>
      </x:c>
      <x:c r="E37" s="98" t="str">
        <x:v>CI/CD Pipeline</x:v>
      </x:c>
      <x:c r="F37" s="98" t="str">
        <x:v>Google Cloud / Hybrid</x:v>
      </x:c>
      <x:c r="G37" s="98" t="str">
        <x:v>Detailed</x:v>
      </x:c>
      <x:c r="H37" s="58" t="str">
        <x:v>DevSecOps &amp; Release</x:v>
      </x:c>
    </x:row>
    <x:row r="38" ht="34" customHeight="1">
      <x:c r="A38" s="57" t="n">
        <x:v>25</x:v>
      </x:c>
      <x:c r="B38" s="98" t="str">
        <x:v>Enterprise Event Mesh: Pub/Sub, Kafka &amp; Cross-Platform Integration</x:v>
      </x:c>
      <x:c r="C38" s="98" t="str">
        <x:v>Logical</x:v>
      </x:c>
      <x:c r="D38" s="98" t="str">
        <x:v>Design; Build</x:v>
      </x:c>
      <x:c r="E38" s="98" t="str">
        <x:v>Event Mesh / Data Flow</x:v>
      </x:c>
      <x:c r="F38" s="98" t="str">
        <x:v>Hybrid / Multi-cloud</x:v>
      </x:c>
      <x:c r="G38" s="98" t="str">
        <x:v>Detailed</x:v>
      </x:c>
      <x:c r="H38" s="58" t="str">
        <x:v>Application &amp; Integration</x:v>
      </x:c>
    </x:row>
    <x:row r="39" ht="34" customHeight="1">
      <x:c r="A39" s="57" t="n">
        <x:v>26</x:v>
      </x:c>
      <x:c r="B39" s="98" t="str">
        <x:v>Google Cloud Serverless Event-Driven Architecture</x:v>
      </x:c>
      <x:c r="C39" s="98" t="str">
        <x:v>Logical</x:v>
      </x:c>
      <x:c r="D39" s="98" t="str">
        <x:v>Design; Build</x:v>
      </x:c>
      <x:c r="E39" s="98" t="str">
        <x:v>EDA / Data Flow</x:v>
      </x:c>
      <x:c r="F39" s="98" t="str">
        <x:v>Google Cloud</x:v>
      </x:c>
      <x:c r="G39" s="98" t="str">
        <x:v>Detailed</x:v>
      </x:c>
      <x:c r="H39" s="58" t="str">
        <x:v>Application &amp; Integration</x:v>
      </x:c>
    </x:row>
    <x:row r="40" ht="34" customHeight="1">
      <x:c r="A40" s="57" t="n">
        <x:v>27</x:v>
      </x:c>
      <x:c r="B40" s="98" t="str">
        <x:v>Enterprise Multimodal Ingestion &amp; Content Understanding</x:v>
      </x:c>
      <x:c r="C40" s="98" t="str">
        <x:v>Logical</x:v>
      </x:c>
      <x:c r="D40" s="98" t="str">
        <x:v>Design; Build</x:v>
      </x:c>
      <x:c r="E40" s="98" t="str">
        <x:v>Data Flow</x:v>
      </x:c>
      <x:c r="F40" s="98" t="str">
        <x:v>Google Cloud</x:v>
      </x:c>
      <x:c r="G40" s="98" t="str">
        <x:v>Detailed</x:v>
      </x:c>
      <x:c r="H40" s="58" t="str">
        <x:v>Data &amp; Analytics</x:v>
      </x:c>
    </x:row>
    <x:row r="41" ht="34" customHeight="1">
      <x:c r="A41" s="57" t="n">
        <x:v>28</x:v>
      </x:c>
      <x:c r="B41" s="98" t="str">
        <x:v>Real-Time Streaming Analytics Architecture</x:v>
      </x:c>
      <x:c r="C41" s="98" t="str">
        <x:v>Logical</x:v>
      </x:c>
      <x:c r="D41" s="98" t="str">
        <x:v>Design; Build; Operate</x:v>
      </x:c>
      <x:c r="E41" s="98" t="str">
        <x:v>Streaming Data Flow</x:v>
      </x:c>
      <x:c r="F41" s="98" t="str">
        <x:v>Google Cloud</x:v>
      </x:c>
      <x:c r="G41" s="98" t="str">
        <x:v>Detailed</x:v>
      </x:c>
      <x:c r="H41" s="58" t="str">
        <x:v>Data &amp; Analytics</x:v>
      </x:c>
    </x:row>
    <x:row r="42" ht="34" customHeight="1">
      <x:c r="A42" s="57" t="n">
        <x:v>29</x:v>
      </x:c>
      <x:c r="B42" s="98" t="str">
        <x:v>6Rs Application Migration Disposition Matrix</x:v>
      </x:c>
      <x:c r="C42" s="98" t="str">
        <x:v>Conceptual</x:v>
      </x:c>
      <x:c r="D42" s="98" t="str">
        <x:v>Discover; Define</x:v>
      </x:c>
      <x:c r="E42" s="98" t="str">
        <x:v>Decision Matrix</x:v>
      </x:c>
      <x:c r="F42" s="98" t="str">
        <x:v>Cloud-agnostic</x:v>
      </x:c>
      <x:c r="G42" s="98" t="str">
        <x:v>Executive</x:v>
      </x:c>
      <x:c r="H42" s="58" t="str">
        <x:v>Enterprise Strategy &amp; Transformation</x:v>
      </x:c>
    </x:row>
    <x:row r="43" ht="34" customHeight="1">
      <x:c r="A43" s="57" t="n">
        <x:v>30</x:v>
      </x:c>
      <x:c r="B43" s="98" t="str">
        <x:v>Enterprise SRE, Observability &amp; Reliability Architecture</x:v>
      </x:c>
      <x:c r="C43" s="98" t="str">
        <x:v>Deployment</x:v>
      </x:c>
      <x:c r="D43" s="98" t="str">
        <x:v>Operate; Optimize</x:v>
      </x:c>
      <x:c r="E43" s="98" t="str">
        <x:v>Observability / Operations Topology</x:v>
      </x:c>
      <x:c r="F43" s="98" t="str">
        <x:v>Google Cloud</x:v>
      </x:c>
      <x:c r="G43" s="98" t="str">
        <x:v>Detailed</x:v>
      </x:c>
      <x:c r="H43" s="58" t="str">
        <x:v>Reliability &amp; Operations</x:v>
      </x:c>
    </x:row>
    <x:row r="44" ht="34" customHeight="1">
      <x:c r="A44" s="57" t="n">
        <x:v>31</x:v>
      </x:c>
      <x:c r="B44" s="98" t="str">
        <x:v>Go-Live Cutover &amp; War Room Runbook</x:v>
      </x:c>
      <x:c r="C44" s="98" t="str">
        <x:v>Process</x:v>
      </x:c>
      <x:c r="D44" s="98" t="str">
        <x:v>Release</x:v>
      </x:c>
      <x:c r="E44" s="98" t="str">
        <x:v>Operational Runbook</x:v>
      </x:c>
      <x:c r="F44" s="98" t="str">
        <x:v>Google Cloud</x:v>
      </x:c>
      <x:c r="G44" s="98" t="str">
        <x:v>Detailed</x:v>
      </x:c>
      <x:c r="H44" s="58" t="str">
        <x:v>DevSecOps &amp; Release</x:v>
      </x:c>
    </x:row>
    <x:row r="45" ht="34" customHeight="1">
      <x:c r="A45" s="57" t="n">
        <x:v>32</x:v>
      </x:c>
      <x:c r="B45" s="98" t="str">
        <x:v>Incident Triage, Escalation &amp; SRE Response Swimlane</x:v>
      </x:c>
      <x:c r="C45" s="98" t="str">
        <x:v>Process</x:v>
      </x:c>
      <x:c r="D45" s="98" t="str">
        <x:v>Operate</x:v>
      </x:c>
      <x:c r="E45" s="98" t="str">
        <x:v>Swimlane</x:v>
      </x:c>
      <x:c r="F45" s="98" t="str">
        <x:v>Cloud-agnostic / Google Cloud</x:v>
      </x:c>
      <x:c r="G45" s="98" t="str">
        <x:v>Standard</x:v>
      </x:c>
      <x:c r="H45" s="58" t="str">
        <x:v>Reliability &amp; Operations</x:v>
      </x:c>
    </x:row>
    <x:row r="46" ht="34" customHeight="1">
      <x:c r="A46" s="57" t="n">
        <x:v>33</x:v>
      </x:c>
      <x:c r="B46" s="98" t="str">
        <x:v>LLM Capacity, Quota &amp; Provisioned Throughput Architecture</x:v>
      </x:c>
      <x:c r="C46" s="98" t="str">
        <x:v>Logical</x:v>
      </x:c>
      <x:c r="D46" s="98" t="str">
        <x:v>Design; Operate</x:v>
      </x:c>
      <x:c r="E46" s="98" t="str">
        <x:v>Capacity / Control Flow</x:v>
      </x:c>
      <x:c r="F46" s="98" t="str">
        <x:v>Google Cloud</x:v>
      </x:c>
      <x:c r="G46" s="98" t="str">
        <x:v>Detailed</x:v>
      </x:c>
      <x:c r="H46" s="58" t="str">
        <x:v>AI &amp; Agentic</x:v>
      </x:c>
    </x:row>
    <x:row r="47" ht="34" customHeight="1">
      <x:c r="A47" s="57" t="n">
        <x:v>34</x:v>
      </x:c>
      <x:c r="B47" s="98" t="str">
        <x:v>Enterprise AI Center of Excellence Operating Model</x:v>
      </x:c>
      <x:c r="C47" s="98" t="str">
        <x:v>Conceptual</x:v>
      </x:c>
      <x:c r="D47" s="98" t="str">
        <x:v>Define; Operate; Optimize</x:v>
      </x:c>
      <x:c r="E47" s="98" t="str">
        <x:v>Operating Model</x:v>
      </x:c>
      <x:c r="F47" s="98" t="str">
        <x:v>Cloud-agnostic</x:v>
      </x:c>
      <x:c r="G47" s="98" t="str">
        <x:v>Executive</x:v>
      </x:c>
      <x:c r="H47" s="58" t="str">
        <x:v>Strategy &amp; Operating Model</x:v>
      </x:c>
    </x:row>
    <x:row r="48" ht="34" customHeight="1">
      <x:c r="A48" s="57" t="n">
        <x:v>35</x:v>
      </x:c>
      <x:c r="B48" s="98" t="str">
        <x:v>LLMOps Prompt, Evaluation &amp; Release Lifecycle</x:v>
      </x:c>
      <x:c r="C48" s="98" t="str">
        <x:v>Process</x:v>
      </x:c>
      <x:c r="D48" s="98" t="str">
        <x:v>Build; Operate</x:v>
      </x:c>
      <x:c r="E48" s="98" t="str">
        <x:v>Lifecycle / Pipeline</x:v>
      </x:c>
      <x:c r="F48" s="98" t="str">
        <x:v>Google Cloud</x:v>
      </x:c>
      <x:c r="G48" s="98" t="str">
        <x:v>Standard</x:v>
      </x:c>
      <x:c r="H48" s="58" t="str">
        <x:v>AI &amp; Agentic</x:v>
      </x:c>
    </x:row>
    <x:row r="49" ht="34" customHeight="1">
      <x:c r="A49" s="57" t="n">
        <x:v>36</x:v>
      </x:c>
      <x:c r="B49" s="98" t="str">
        <x:v>DataOps, Data Quality &amp; Anomaly Detection Architecture</x:v>
      </x:c>
      <x:c r="C49" s="98" t="str">
        <x:v>Logical</x:v>
      </x:c>
      <x:c r="D49" s="98" t="str">
        <x:v>Build; Operate</x:v>
      </x:c>
      <x:c r="E49" s="98" t="str">
        <x:v>DataOps Pipeline</x:v>
      </x:c>
      <x:c r="F49" s="98" t="str">
        <x:v>Google Cloud</x:v>
      </x:c>
      <x:c r="G49" s="98" t="str">
        <x:v>Detailed</x:v>
      </x:c>
      <x:c r="H49" s="58" t="str">
        <x:v>Data &amp; Analytics</x:v>
      </x:c>
    </x:row>
    <x:row r="50" ht="34" customHeight="1">
      <x:c r="A50" s="57" t="n">
        <x:v>37</x:v>
      </x:c>
      <x:c r="B50" s="98" t="str">
        <x:v>Multi-Region Active-Passive Disaster Recovery</x:v>
      </x:c>
      <x:c r="C50" s="98" t="str">
        <x:v>Deployment</x:v>
      </x:c>
      <x:c r="D50" s="98" t="str">
        <x:v>Design; Release; Operate</x:v>
      </x:c>
      <x:c r="E50" s="98" t="str">
        <x:v>DR / Failover Topology</x:v>
      </x:c>
      <x:c r="F50" s="98" t="str">
        <x:v>Google Cloud</x:v>
      </x:c>
      <x:c r="G50" s="98" t="str">
        <x:v>Detailed</x:v>
      </x:c>
      <x:c r="H50" s="58" t="str">
        <x:v>Reliability &amp; Operations</x:v>
      </x:c>
    </x:row>
    <x:row r="51" ht="34" customHeight="1">
      <x:c r="A51" s="57" t="n">
        <x:v>38</x:v>
      </x:c>
      <x:c r="B51" s="98" t="str">
        <x:v>AI-Assisted Personalized Financial Advising Architecture</x:v>
      </x:c>
      <x:c r="C51" s="98" t="str">
        <x:v>Logical</x:v>
      </x:c>
      <x:c r="D51" s="98" t="str">
        <x:v>Design</x:v>
      </x:c>
      <x:c r="E51" s="98" t="str">
        <x:v>Industry Reference Architecture</x:v>
      </x:c>
      <x:c r="F51" s="98" t="str">
        <x:v>Google Cloud</x:v>
      </x:c>
      <x:c r="G51" s="98" t="str">
        <x:v>Standard</x:v>
      </x:c>
      <x:c r="H51" s="58" t="str">
        <x:v>Industry Solutions</x:v>
      </x:c>
    </x:row>
    <x:row r="52" ht="34" customHeight="1">
      <x:c r="A52" s="57" t="n">
        <x:v>39</x:v>
      </x:c>
      <x:c r="B52" s="98" t="str">
        <x:v>Equipment Predictive Maintenance &amp; Closed-Loop Service Architecture</x:v>
      </x:c>
      <x:c r="C52" s="98" t="str">
        <x:v>Logical</x:v>
      </x:c>
      <x:c r="D52" s="98" t="str">
        <x:v>Design; Operate; Optimize</x:v>
      </x:c>
      <x:c r="E52" s="98" t="str">
        <x:v>Industry Reference Architecture / Data Flow</x:v>
      </x:c>
      <x:c r="F52" s="98" t="str">
        <x:v>Google Cloud / Hybrid</x:v>
      </x:c>
      <x:c r="G52" s="98" t="str">
        <x:v>Standard</x:v>
      </x:c>
      <x:c r="H52" s="58" t="str">
        <x:v>Industry Solutions</x:v>
      </x:c>
    </x:row>
    <x:row r="53" ht="34" customHeight="1">
      <x:c r="A53" s="57" t="n">
        <x:v>40</x:v>
      </x:c>
      <x:c r="B53" s="98" t="str">
        <x:v>Pharma Genomics &amp; AI-Assisted Drug Discovery Architecture</x:v>
      </x:c>
      <x:c r="C53" s="98" t="str">
        <x:v>Logical</x:v>
      </x:c>
      <x:c r="D53" s="98" t="str">
        <x:v>Design; Build</x:v>
      </x:c>
      <x:c r="E53" s="98" t="str">
        <x:v>Industry Reference Architecture / Data Flow</x:v>
      </x:c>
      <x:c r="F53" s="98" t="str">
        <x:v>Google Cloud</x:v>
      </x:c>
      <x:c r="G53" s="98" t="str">
        <x:v>Detailed</x:v>
      </x:c>
      <x:c r="H53" s="58" t="str">
        <x:v>Industry Solutions</x:v>
      </x:c>
    </x:row>
    <x:row r="54" ht="34" customHeight="1">
      <x:c r="A54" s="57" t="n">
        <x:v>41</x:v>
      </x:c>
      <x:c r="B54" s="98" t="str">
        <x:v>Omnichannel Intelligent Commerce &amp; Retail AI Architecture</x:v>
      </x:c>
      <x:c r="C54" s="98" t="str">
        <x:v>Logical</x:v>
      </x:c>
      <x:c r="D54" s="98" t="str">
        <x:v>Design</x:v>
      </x:c>
      <x:c r="E54" s="98" t="str">
        <x:v>Industry Reference Architecture</x:v>
      </x:c>
      <x:c r="F54" s="98" t="str">
        <x:v>Google Cloud</x:v>
      </x:c>
      <x:c r="G54" s="98" t="str">
        <x:v>Standard</x:v>
      </x:c>
      <x:c r="H54" s="58" t="str">
        <x:v>Industry Solutions</x:v>
      </x:c>
    </x:row>
    <x:row r="55" ht="34" customHeight="1">
      <x:c r="A55" s="57" t="n">
        <x:v>42</x:v>
      </x:c>
      <x:c r="B55" s="98" t="str">
        <x:v>Smart Factory Digital Twin &amp; Edge-to-Cloud Operations Platform</x:v>
      </x:c>
      <x:c r="C55" s="98" t="str">
        <x:v>Deployment</x:v>
      </x:c>
      <x:c r="D55" s="98" t="str">
        <x:v>Design; Operate; Optimize</x:v>
      </x:c>
      <x:c r="E55" s="98" t="str">
        <x:v>Industry Platform / Topology</x:v>
      </x:c>
      <x:c r="F55" s="98" t="str">
        <x:v>Google Cloud / Hybrid</x:v>
      </x:c>
      <x:c r="G55" s="98" t="str">
        <x:v>Detailed</x:v>
      </x:c>
      <x:c r="H55" s="58" t="str">
        <x:v>Industry Solutions</x:v>
      </x:c>
    </x:row>
    <x:row r="56" ht="34" customHeight="1">
      <x:c r="A56" s="57" t="n">
        <x:v>43</x:v>
      </x:c>
      <x:c r="B56" s="98" t="str">
        <x:v>Workforce AI &amp; People Intelligence Platform</x:v>
      </x:c>
      <x:c r="C56" s="98" t="str">
        <x:v>Logical</x:v>
      </x:c>
      <x:c r="D56" s="98" t="str">
        <x:v>Design</x:v>
      </x:c>
      <x:c r="E56" s="98" t="str">
        <x:v>Industry Reference Architecture</x:v>
      </x:c>
      <x:c r="F56" s="98" t="str">
        <x:v>Google Cloud</x:v>
      </x:c>
      <x:c r="G56" s="98" t="str">
        <x:v>Standard</x:v>
      </x:c>
      <x:c r="H56" s="58" t="str">
        <x:v>Industry Solutions</x:v>
      </x:c>
    </x:row>
    <x:row r="57" ht="34" customHeight="1">
      <x:c r="A57" s="57" t="n">
        <x:v>44</x:v>
      </x:c>
      <x:c r="B57" s="98" t="str">
        <x:v>Healthcare Interoperability, FHIR/HL7 &amp; Clinical AI Platform</x:v>
      </x:c>
      <x:c r="C57" s="98" t="str">
        <x:v>Logical</x:v>
      </x:c>
      <x:c r="D57" s="98" t="str">
        <x:v>Design; Build</x:v>
      </x:c>
      <x:c r="E57" s="98" t="str">
        <x:v>Industry Reference Architecture / Data Flow</x:v>
      </x:c>
      <x:c r="F57" s="98" t="str">
        <x:v>Google Cloud / Hybrid</x:v>
      </x:c>
      <x:c r="G57" s="98" t="str">
        <x:v>Detailed</x:v>
      </x:c>
      <x:c r="H57" s="58" t="str">
        <x:v>Industry Solutions</x:v>
      </x:c>
    </x:row>
    <x:row r="58" ht="34" customHeight="1">
      <x:c r="A58" s="57" t="n">
        <x:v>45</x:v>
      </x:c>
      <x:c r="B58" s="98" t="str">
        <x:v>C4 System Context &amp; Container Model</x:v>
      </x:c>
      <x:c r="C58" s="98" t="str">
        <x:v>Conceptual</x:v>
      </x:c>
      <x:c r="D58" s="98" t="str">
        <x:v>Design</x:v>
      </x:c>
      <x:c r="E58" s="98" t="str">
        <x:v>C4 L1 / L2</x:v>
      </x:c>
      <x:c r="F58" s="98" t="str">
        <x:v>Cloud-agnostic</x:v>
      </x:c>
      <x:c r="G58" s="98" t="str">
        <x:v>Standard</x:v>
      </x:c>
      <x:c r="H58" s="58" t="str">
        <x:v>Architecture Standards</x:v>
      </x:c>
    </x:row>
    <x:row r="59" ht="34" customHeight="1">
      <x:c r="A59" s="57" t="n">
        <x:v>46</x:v>
      </x:c>
      <x:c r="B59" s="98" t="str">
        <x:v>C4 Level 3 Component &amp; Microservice LLD</x:v>
      </x:c>
      <x:c r="C59" s="98" t="str">
        <x:v>Logical</x:v>
      </x:c>
      <x:c r="D59" s="98" t="str">
        <x:v>Design; Build</x:v>
      </x:c>
      <x:c r="E59" s="98" t="str">
        <x:v>C4 L3</x:v>
      </x:c>
      <x:c r="F59" s="98" t="str">
        <x:v>Cloud-agnostic</x:v>
      </x:c>
      <x:c r="G59" s="98" t="str">
        <x:v>Detailed</x:v>
      </x:c>
      <x:c r="H59" s="58" t="str">
        <x:v>Architecture Standards</x:v>
      </x:c>
    </x:row>
    <x:row r="60" ht="34" customHeight="1">
      <x:c r="A60" s="57" t="n">
        <x:v>47</x:v>
      </x:c>
      <x:c r="B60" s="98" t="str">
        <x:v>BPMN 2.0 Business Process &amp; Autonomous Workflow</x:v>
      </x:c>
      <x:c r="C60" s="98" t="str">
        <x:v>Process</x:v>
      </x:c>
      <x:c r="D60" s="98" t="str">
        <x:v>Define; Design</x:v>
      </x:c>
      <x:c r="E60" s="98" t="str">
        <x:v>BPMN 2.0</x:v>
      </x:c>
      <x:c r="F60" s="98" t="str">
        <x:v>Cloud-agnostic</x:v>
      </x:c>
      <x:c r="G60" s="98" t="str">
        <x:v>Standard</x:v>
      </x:c>
      <x:c r="H60" s="58" t="str">
        <x:v>Architecture Standards</x:v>
      </x:c>
    </x:row>
    <x:row r="61" ht="34" customHeight="1">
      <x:c r="A61" s="57" t="n">
        <x:v>48</x:v>
      </x:c>
      <x:c r="B61" s="98" t="str">
        <x:v>STRIDE Threat Model, Trust Boundaries &amp; Mitigation Map</x:v>
      </x:c>
      <x:c r="C61" s="98" t="str">
        <x:v>Logical</x:v>
      </x:c>
      <x:c r="D61" s="98" t="str">
        <x:v>Design</x:v>
      </x:c>
      <x:c r="E61" s="98" t="str">
        <x:v>STRIDE Threat Model / DFD</x:v>
      </x:c>
      <x:c r="F61" s="98" t="str">
        <x:v>Cloud-agnostic / Google Cloud</x:v>
      </x:c>
      <x:c r="G61" s="98" t="str">
        <x:v>Detailed</x:v>
      </x:c>
      <x:c r="H61" s="58" t="str">
        <x:v>Security &amp; Identity</x:v>
      </x:c>
    </x:row>
    <x:row r="62" ht="34" customHeight="1">
      <x:c r="A62" s="57" t="n">
        <x:v>49</x:v>
      </x:c>
      <x:c r="B62" s="98" t="str">
        <x:v>Column-Level Data Lineage, Transformations &amp; Provenance</x:v>
      </x:c>
      <x:c r="C62" s="98" t="str">
        <x:v>Data Model</x:v>
      </x:c>
      <x:c r="D62" s="98" t="str">
        <x:v>Design; Operate</x:v>
      </x:c>
      <x:c r="E62" s="98" t="str">
        <x:v>Lineage Graph</x:v>
      </x:c>
      <x:c r="F62" s="98" t="str">
        <x:v>Google Cloud</x:v>
      </x:c>
      <x:c r="G62" s="98" t="str">
        <x:v>Detailed</x:v>
      </x:c>
      <x:c r="H62" s="58" t="str">
        <x:v>Data &amp; Analytics</x:v>
      </x:c>
    </x:row>
    <x:row r="63" ht="34" customHeight="1">
      <x:c r="A63" s="57" t="n">
        <x:v>50</x:v>
      </x:c>
      <x:c r="B63" s="98" t="str">
        <x:v>Enterprise MCP Gateway on Google Cloud</x:v>
      </x:c>
      <x:c r="C63" s="98" t="str">
        <x:v>Logical</x:v>
      </x:c>
      <x:c r="D63" s="98" t="str">
        <x:v>Design; Build</x:v>
      </x:c>
      <x:c r="E63" s="98" t="str">
        <x:v>MCP Gateway / Remote Tool Topology</x:v>
      </x:c>
      <x:c r="F63" s="98" t="str">
        <x:v>Google Cloud</x:v>
      </x:c>
      <x:c r="G63" s="98" t="str">
        <x:v>Detailed</x:v>
      </x:c>
      <x:c r="H63" s="58" t="str">
        <x:v>AI &amp; Agentic</x:v>
      </x:c>
    </x:row>
    <x:row r="64" ht="34" customHeight="1">
      <x:c r="A64" s="57" t="n">
        <x:v>51</x:v>
      </x:c>
      <x:c r="B64" s="98" t="str">
        <x:v>Enterprise API Management &amp; Integration Architecture</x:v>
      </x:c>
      <x:c r="C64" s="98" t="str">
        <x:v>Logical</x:v>
      </x:c>
      <x:c r="D64" s="98" t="str">
        <x:v>Design; Build; Operate</x:v>
      </x:c>
      <x:c r="E64" s="98" t="str">
        <x:v>API / Integration Flow</x:v>
      </x:c>
      <x:c r="F64" s="98" t="str">
        <x:v>Google Cloud / Hybrid</x:v>
      </x:c>
      <x:c r="G64" s="98" t="str">
        <x:v>Detailed</x:v>
      </x:c>
      <x:c r="H64" s="58" t="str">
        <x:v>Application &amp; Integration</x:v>
      </x:c>
    </x:row>
    <x:row r="65" ht="34" customHeight="1">
      <x:c r="A65" s="57" t="n">
        <x:v>52</x:v>
      </x:c>
      <x:c r="B65" s="98" t="str">
        <x:v>GKE / Kubernetes Enterprise Platform Architecture</x:v>
      </x:c>
      <x:c r="C65" s="98" t="str">
        <x:v>Deployment</x:v>
      </x:c>
      <x:c r="D65" s="98" t="str">
        <x:v>Design; Build; Operate</x:v>
      </x:c>
      <x:c r="E65" s="98" t="str">
        <x:v>Platform / Deployment Topology</x:v>
      </x:c>
      <x:c r="F65" s="98" t="str">
        <x:v>Google Cloud</x:v>
      </x:c>
      <x:c r="G65" s="98" t="str">
        <x:v>Detailed</x:v>
      </x:c>
      <x:c r="H65" s="58" t="str">
        <x:v>Cloud Platform &amp; Networking</x:v>
      </x:c>
    </x:row>
    <x:row r="66" ht="34" customHeight="1">
      <x:c r="A66" s="57" t="n">
        <x:v>53</x:v>
      </x:c>
      <x:c r="B66" s="98" t="str">
        <x:v>Highly Available Multi-Region Application Architecture</x:v>
      </x:c>
      <x:c r="C66" s="98" t="str">
        <x:v>Deployment</x:v>
      </x:c>
      <x:c r="D66" s="98" t="str">
        <x:v>Design; Operate</x:v>
      </x:c>
      <x:c r="E66" s="98" t="str">
        <x:v>HA / Multi-Region Topology</x:v>
      </x:c>
      <x:c r="F66" s="98" t="str">
        <x:v>Google Cloud</x:v>
      </x:c>
      <x:c r="G66" s="98" t="str">
        <x:v>Detailed</x:v>
      </x:c>
      <x:c r="H66" s="58" t="str">
        <x:v>Reliability &amp; Operations</x:v>
      </x:c>
    </x:row>
    <x:row r="67" ht="34" customHeight="1">
      <x:c r="A67" s="57" t="n">
        <x:v>54</x:v>
      </x:c>
      <x:c r="B67" s="98" t="str">
        <x:v>Enterprise ETL/ELT &amp; CDC Data Pipeline Architecture</x:v>
      </x:c>
      <x:c r="C67" s="98" t="str">
        <x:v>Logical</x:v>
      </x:c>
      <x:c r="D67" s="98" t="str">
        <x:v>Design; Build; Operate</x:v>
      </x:c>
      <x:c r="E67" s="98" t="str">
        <x:v>Data Pipeline / Data Flow</x:v>
      </x:c>
      <x:c r="F67" s="98" t="str">
        <x:v>Google Cloud / Hybrid</x:v>
      </x:c>
      <x:c r="G67" s="98" t="str">
        <x:v>Detailed</x:v>
      </x:c>
      <x:c r="H67" s="58" t="str">
        <x:v>Data &amp; Analytics</x:v>
      </x:c>
    </x:row>
    <x:row r="68" ht="34" customHeight="1">
      <x:c r="A68" s="57" t="n">
        <x:v>55</x:v>
      </x:c>
      <x:c r="B68" s="98" t="str">
        <x:v>Workload Identity &amp; Service-to-Service Authorization Architecture</x:v>
      </x:c>
      <x:c r="C68" s="98" t="str">
        <x:v>Logical</x:v>
      </x:c>
      <x:c r="D68" s="98" t="str">
        <x:v>Design; Build</x:v>
      </x:c>
      <x:c r="E68" s="98" t="str">
        <x:v>Identity / Authorization Flow</x:v>
      </x:c>
      <x:c r="F68" s="98" t="str">
        <x:v>Google Cloud / Hybrid</x:v>
      </x:c>
      <x:c r="G68" s="98" t="str">
        <x:v>Detailed</x:v>
      </x:c>
      <x:c r="H68" s="58" t="str">
        <x:v>Security &amp; Identity</x:v>
      </x:c>
    </x:row>
    <x:row r="69" ht="34" customHeight="1">
      <x:c r="A69" s="57" t="n">
        <x:v>56</x:v>
      </x:c>
      <x:c r="B69" s="98" t="str">
        <x:v>Private Ingress, Egress &amp; Service Connectivity Architecture</x:v>
      </x:c>
      <x:c r="C69" s="98" t="str">
        <x:v>Deployment</x:v>
      </x:c>
      <x:c r="D69" s="98" t="str">
        <x:v>Design; Build</x:v>
      </x:c>
      <x:c r="E69" s="98" t="str">
        <x:v>Network / Security Topology</x:v>
      </x:c>
      <x:c r="F69" s="98" t="str">
        <x:v>Google Cloud</x:v>
      </x:c>
      <x:c r="G69" s="98" t="str">
        <x:v>Detailed</x:v>
      </x:c>
      <x:c r="H69" s="58" t="str">
        <x:v>Cloud Platform &amp; Networking</x:v>
      </x:c>
    </x:row>
    <x:row r="70" ht="34" customHeight="1">
      <x:c r="A70" s="57" t="n">
        <x:v>57</x:v>
      </x:c>
      <x:c r="B70" s="98" t="str">
        <x:v>Enterprise MLOps Lifecycle Architecture</x:v>
      </x:c>
      <x:c r="C70" s="98" t="str">
        <x:v>Logical</x:v>
      </x:c>
      <x:c r="D70" s="98" t="str">
        <x:v>Build; Operate; Optimize</x:v>
      </x:c>
      <x:c r="E70" s="98" t="str">
        <x:v>MLOps Lifecycle / Pipeline</x:v>
      </x:c>
      <x:c r="F70" s="98" t="str">
        <x:v>Google Cloud</x:v>
      </x:c>
      <x:c r="G70" s="98" t="str">
        <x:v>Detailed</x:v>
      </x:c>
      <x:c r="H70" s="58" t="str">
        <x:v>AI &amp; Agentic</x:v>
      </x:c>
    </x:row>
    <x:row r="71" ht="34" customHeight="1">
      <x:c r="A71" s="57" t="n">
        <x:v>58</x:v>
      </x:c>
      <x:c r="B71" s="98" t="str">
        <x:v>GraphRAG / Knowledge Graph Architecture</x:v>
      </x:c>
      <x:c r="C71" s="98" t="str">
        <x:v>Logical</x:v>
      </x:c>
      <x:c r="D71" s="98" t="str">
        <x:v>Design; Build</x:v>
      </x:c>
      <x:c r="E71" s="98" t="str">
        <x:v>AI / Data Flow</x:v>
      </x:c>
      <x:c r="F71" s="98" t="str">
        <x:v>Google Cloud</x:v>
      </x:c>
      <x:c r="G71" s="98" t="str">
        <x:v>Detailed</x:v>
      </x:c>
      <x:c r="H71" s="58" t="str">
        <x:v>AI &amp; Agentic</x:v>
      </x:c>
    </x:row>
    <x:row r="72" ht="34" customHeight="1">
      <x:c r="A72" s="57" t="n">
        <x:v>59</x:v>
      </x:c>
      <x:c r="B72" s="98" t="str">
        <x:v>SaaS Multi-Tenant Application Architecture</x:v>
      </x:c>
      <x:c r="C72" s="98" t="str">
        <x:v>Deployment</x:v>
      </x:c>
      <x:c r="D72" s="98" t="str">
        <x:v>Design; Build</x:v>
      </x:c>
      <x:c r="E72" s="98" t="str">
        <x:v>SaaS / Tenant Topology</x:v>
      </x:c>
      <x:c r="F72" s="98" t="str">
        <x:v>Google Cloud</x:v>
      </x:c>
      <x:c r="G72" s="98" t="str">
        <x:v>Detailed</x:v>
      </x:c>
      <x:c r="H72" s="58" t="str">
        <x:v>Application &amp; Integration</x:v>
      </x:c>
    </x:row>
    <x:row r="73" ht="34" customHeight="1">
      <x:c r="A73" s="59" t="n">
        <x:v>60</x:v>
      </x:c>
      <x:c r="B73" s="99" t="str">
        <x:v>Intelligent Document Processing Platform</x:v>
      </x:c>
      <x:c r="C73" s="99" t="str">
        <x:v>Logical</x:v>
      </x:c>
      <x:c r="D73" s="99" t="str">
        <x:v>Design; Build; Operate</x:v>
      </x:c>
      <x:c r="E73" s="99" t="str">
        <x:v>Document Processing / Data Flow</x:v>
      </x:c>
      <x:c r="F73" s="99" t="str">
        <x:v>Google Cloud</x:v>
      </x:c>
      <x:c r="G73" s="99" t="str">
        <x:v>Detailed</x:v>
      </x:c>
      <x:c r="H73" s="60" t="str">
        <x:v>Data &amp; Analytics</x:v>
      </x:c>
    </x:row>
  </x:sheetData>
  <x:mergeCells>
    <x:mergeCell ref="A1:H1"/>
    <x:mergeCell ref="A2:H2"/>
    <x:mergeCell ref="A3:H3"/>
    <x:mergeCell ref="A4:H4"/>
  </x:mergeCells>
  <x:pageMargins left="0.7" right="0.7" top="0.75" bottom="0.75" header="0.3" footer="0.3"/>
  <x:tableParts count="1">
    <x:tablePart xmlns:r="http://schemas.openxmlformats.org/officeDocument/2006/relationships" r:id="R8992bfa244c342f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6" hidden="0" customWidth="1"/>
    <x:col min="3" max="3" width="48" hidden="0" customWidth="1"/>
    <x:col min="4" max="4" width="22" hidden="0" customWidth="1"/>
    <x:col min="5" max="5" width="10" hidden="0" customWidth="1"/>
    <x:col min="6" max="6" width="36" hidden="0" customWidth="1"/>
    <x:col min="7" max="7" width="28" hidden="0" customWidth="1"/>
    <x:col min="8" max="8" width="52" hidden="0" customWidth="1"/>
  </x:cols>
  <x:sheetData>
    <x:row r="1" ht="28" customHeight="1">
      <x:c r="A1" s="4" t="str">
        <x:v>Batch 3 — Catalog Rationalization &amp; Architecture Rebuild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1" t="str">
        <x:v>Self-contained execution plan combining the previous duplication-cleanup and deep-rebuild batches into one phased program.</x:v>
      </x:c>
      <x:c r="B2" s="11"/>
      <x:c r="C2" s="11"/>
      <x:c r="D2" s="11"/>
      <x:c r="E2" s="11"/>
      <x:c r="F2" s="11"/>
      <x:c r="G2" s="11"/>
      <x:c r="H2" s="11"/>
    </x:row>
    <x:row r="3" ht="28" customHeight="1">
      <x:c r="A3" s="18" t="str">
        <x:v>Objective: make every blueprint unique, technically correct, current, visually professional and worth keeping.</x:v>
      </x:c>
      <x:c r="B3" s="18"/>
      <x:c r="C3" s="18"/>
      <x:c r="D3" s="18"/>
      <x:c r="E3" s="18"/>
      <x:c r="F3" s="18"/>
      <x:c r="G3" s="18"/>
      <x:c r="H3" s="18"/>
    </x:row>
    <x:row r="4" ht="28" customHeight="1">
      <x:c r="A4" s="18" t="str">
        <x:v>Major rebuild workflow: analyze current → define intent → PNG → approval → editable Draw.io XML → deploy → live visual comparison → certify.</x:v>
      </x:c>
      <x:c r="B4" s="18"/>
      <x:c r="C4" s="18"/>
      <x:c r="D4" s="18"/>
      <x:c r="E4" s="18"/>
      <x:c r="F4" s="18"/>
      <x:c r="G4" s="18"/>
      <x:c r="H4" s="18"/>
    </x:row>
    <x:row r="6" ht="34" customHeight="1">
      <x:c r="A6" s="30" t="str">
        <x:v>Phase</x:v>
      </x:c>
      <x:c r="B6" s="135" t="str">
        <x:v>Purpose</x:v>
      </x:c>
      <x:c r="C6" s="135" t="str">
        <x:v>Templates / Scope</x:v>
      </x:c>
      <x:c r="D6" s="135" t="str">
        <x:v>Activities</x:v>
      </x:c>
      <x:c r="E6" s="31" t="str">
        <x:v>Exit Criteria</x:v>
      </x:c>
    </x:row>
    <x:row r="7" ht="76" customHeight="1">
      <x:c r="A7" s="55" t="str">
        <x:v>3.1</x:v>
      </x:c>
      <x:c r="B7" s="97" t="str">
        <x:v>Critical Architecture Rebuilds</x:v>
      </x:c>
      <x:c r="C7" s="97" t="str">
        <x:v>#6, #20, #37, #50</x:v>
      </x:c>
      <x:c r="D7" s="97" t="str">
        <x:v>Rebuild architecture intent, not just styling. Use approved reference PNG before XML implementation.</x:v>
      </x:c>
      <x:c r="E7" s="56" t="str">
        <x:v>Architecture technically coherent; approved PNG; XML deployed; live render visually matches reference.</x:v>
      </x:c>
    </x:row>
    <x:row r="8" ht="76" customHeight="1">
      <x:c r="A8" s="57" t="str">
        <x:v>3.2</x:v>
      </x:c>
      <x:c r="B8" s="98" t="str">
        <x:v>Technical Accuracy Cleanup</x:v>
      </x:c>
      <x:c r="C8" s="98" t="str">
        <x:v>#5, #11, #14, #18, #21, #22, #24, #29, #30, #32, #33, #34, #35, #36, #38, #40, #43, #44, #46, #48, #49</x:v>
      </x:c>
      <x:c r="D8" s="98" t="str">
        <x:v>Fix naming, taxonomy, responsibilities, obsolete services, misleading flows and unsupported guarantees.</x:v>
      </x:c>
      <x:c r="E8" s="58" t="str">
        <x:v>No obsolete/non-standard product names; roles/responsibilities accurate; classifications corrected.</x:v>
      </x:c>
    </x:row>
    <x:row r="9" ht="76" customHeight="1">
      <x:c r="A9" s="57" t="str">
        <x:v>3.3</x:v>
      </x:c>
      <x:c r="B9" s="98" t="str">
        <x:v>Duplication &amp; Portfolio Rationalization</x:v>
      </x:c>
      <x:c r="C9" s="98" t="str">
        <x:v>#39 vs #42 first; then #25/#26 and other overlap checks</x:v>
      </x:c>
      <x:c r="D9" s="98" t="str">
        <x:v>Give each template a clearly different user problem, architecture intent and 'Best for / Shows' definition. Merge only if differentiation still fails.</x:v>
      </x:c>
      <x:c r="E9" s="58" t="str">
        <x:v>No two blueprints feel interchangeable to a customer; no redundant gallery cards.</x:v>
      </x:c>
    </x:row>
    <x:row r="10" ht="76" customHeight="1">
      <x:c r="A10" s="57" t="str">
        <x:v>3.4</x:v>
      </x:c>
      <x:c r="B10" s="98" t="str">
        <x:v>Architecture Completeness</x:v>
      </x:c>
      <x:c r="C10" s="98" t="str">
        <x:v>All surviving templates</x:v>
      </x:c>
      <x:c r="D10" s="98" t="str">
        <x:v>Check security, IAM, observability, resilience, failure/retry paths, governance, data flows and human approval where applicable.</x:v>
      </x:c>
      <x:c r="E10" s="58" t="str">
        <x:v>Each blueprint includes the production concerns appropriate to its architecture type without adding irrelevant clutter.</x:v>
      </x:c>
    </x:row>
    <x:row r="11" ht="76" customHeight="1">
      <x:c r="A11" s="57" t="str">
        <x:v>3.5</x:v>
      </x:c>
      <x:c r="B11" s="98" t="str">
        <x:v>Visual Rebuild / Fidelity</x:v>
      </x:c>
      <x:c r="C11" s="98" t="str">
        <x:v>All weak/legacy masters</x:v>
      </x:c>
      <x:c r="D11" s="98" t="str">
        <x:v>Apply readable typography, authentic/reliable service representation, orthogonal routing, numbered flow, semantic colors and whitespace.</x:v>
      </x:c>
      <x:c r="E11" s="58" t="str">
        <x:v>Live diagram is readable on desktop/mobile; no overlaps; clear hierarchy and flow.</x:v>
      </x:c>
    </x:row>
    <x:row r="12" ht="76" customHeight="1">
      <x:c r="A12" s="59" t="str">
        <x:v>3.6</x:v>
      </x:c>
      <x:c r="B12" s="99" t="str">
        <x:v>Catalog QA &amp; Certification</x:v>
      </x:c>
      <x:c r="C12" s="99" t="str">
        <x:v>All 50</x:v>
      </x:c>
      <x:c r="D12" s="99" t="str">
        <x:v>Validate resolver uniqueness, taxonomy, technical accuracy, mobile/desktop render and document-pack mapping.</x:v>
      </x:c>
      <x:c r="E12" s="60" t="str">
        <x:v>Every blueprint has a certification record and no unresolved critical defect.</x:v>
      </x:c>
    </x:row>
    <x:row r="14" ht="34" customHeight="1">
      <x:c r="A14" s="30" t="str">
        <x:v>Order</x:v>
      </x:c>
      <x:c r="B14" s="135" t="str">
        <x:v>#</x:v>
      </x:c>
      <x:c r="C14" s="135" t="str">
        <x:v>Blueprint</x:v>
      </x:c>
      <x:c r="D14" s="135" t="str">
        <x:v>Action</x:v>
      </x:c>
      <x:c r="E14" s="135" t="str">
        <x:v>Priority</x:v>
      </x:c>
      <x:c r="F14" s="135" t="str">
        <x:v>Primary Phase</x:v>
      </x:c>
      <x:c r="G14" s="135" t="str">
        <x:v>Current Gate</x:v>
      </x:c>
      <x:c r="H14" s="31" t="str">
        <x:v>Next Required Evidence</x:v>
      </x:c>
    </x:row>
    <x:row r="15" ht="42" customHeight="1">
      <x:c r="A15" s="55" t="n">
        <x:v>1</x:v>
      </x:c>
      <x:c r="B15" s="97" t="n">
        <x:v>20</x:v>
      </x:c>
      <x:c r="C15" s="97" t="str">
        <x:v>Hybrid Multi-Cloud Networking &amp; Gemini Enterprise</x:v>
      </x:c>
      <x:c r="D15" s="97" t="str">
        <x:v>P0 REBUILD</x:v>
      </x:c>
      <x:c r="E15" s="97" t="str">
        <x:v>P0</x:v>
      </x:c>
      <x:c r="F15" s="97" t="str">
        <x:v>3.1 Critical Architecture Rebuilds</x:v>
      </x:c>
      <x:c r="G15" s="97" t="str">
        <x:v>PNG Approved / XML Pending</x:v>
      </x:c>
      <x:c r="H15" s="56" t="str">
        <x:v>Approved PNG → editable XML → live visual QA</x:v>
      </x:c>
    </x:row>
    <x:row r="16" ht="42" customHeight="1">
      <x:c r="A16" s="57" t="n">
        <x:v>2</x:v>
      </x:c>
      <x:c r="B16" s="98" t="n">
        <x:v>37</x:v>
      </x:c>
      <x:c r="C16" s="98" t="str">
        <x:v>Multi-Region Active-Passive Disaster Recovery</x:v>
      </x:c>
      <x:c r="D16" s="98" t="str">
        <x:v>P0 REBUILD</x:v>
      </x:c>
      <x:c r="E16" s="98" t="str">
        <x:v>P0</x:v>
      </x:c>
      <x:c r="F16" s="98" t="str">
        <x:v>3.1 Critical Architecture Rebuilds</x:v>
      </x:c>
      <x:c r="G16" s="98" t="str">
        <x:v>Not Reviewed</x:v>
      </x:c>
      <x:c r="H16" s="58" t="str">
        <x:v>Approved PNG → editable XML → live visual QA</x:v>
      </x:c>
    </x:row>
    <x:row r="17" ht="42" customHeight="1">
      <x:c r="A17" s="57" t="n">
        <x:v>3</x:v>
      </x:c>
      <x:c r="B17" s="98" t="n">
        <x:v>50</x:v>
      </x:c>
      <x:c r="C17" s="98" t="str">
        <x:v>Enterprise MCP Gateway on Google Cloud</x:v>
      </x:c>
      <x:c r="D17" s="98" t="str">
        <x:v>P0 REBUILD</x:v>
      </x:c>
      <x:c r="E17" s="98" t="str">
        <x:v>P0</x:v>
      </x:c>
      <x:c r="F17" s="98" t="str">
        <x:v>3.1 Critical Architecture Rebuilds</x:v>
      </x:c>
      <x:c r="G17" s="98" t="str">
        <x:v>PNG Approved / XML Pending</x:v>
      </x:c>
      <x:c r="H17" s="58" t="str">
        <x:v>Approved PNG → editable XML → live visual QA</x:v>
      </x:c>
    </x:row>
    <x:row r="18" ht="42" customHeight="1">
      <x:c r="A18" s="57" t="n">
        <x:v>4</x:v>
      </x:c>
      <x:c r="B18" s="98" t="n">
        <x:v>6</x:v>
      </x:c>
      <x:c r="C18" s="98" t="str">
        <x:v>Enterprise Reference Architecture</x:v>
      </x:c>
      <x:c r="D18" s="98" t="str">
        <x:v>REBUILD / RENAME</x:v>
      </x:c>
      <x:c r="E18" s="98" t="str">
        <x:v>P0</x:v>
      </x:c>
      <x:c r="F18" s="98" t="str">
        <x:v>3.1 Critical Architecture Rebuilds</x:v>
      </x:c>
      <x:c r="G18" s="98" t="str">
        <x:v>Not Reviewed</x:v>
      </x:c>
      <x:c r="H18" s="58" t="str">
        <x:v>Approved PNG → editable XML → live visual QA</x:v>
      </x:c>
    </x:row>
    <x:row r="19" ht="42" customHeight="1">
      <x:c r="A19" s="57" t="n">
        <x:v>5</x:v>
      </x:c>
      <x:c r="B19" s="98" t="n">
        <x:v>5</x:v>
      </x:c>
      <x:c r="C19" s="98" t="str">
        <x:v>Google Cloud FinOps, Allocation &amp; Chargeback Architecture</x:v>
      </x:c>
      <x:c r="D19" s="98" t="str">
        <x:v>REBUILD</x:v>
      </x:c>
      <x:c r="E19" s="98" t="str">
        <x:v>P0</x:v>
      </x:c>
      <x:c r="F19" s="98" t="str">
        <x:v>3.2 Technical Accuracy Cleanup</x:v>
      </x:c>
      <x:c r="G19" s="98" t="str">
        <x:v>Not Reviewed</x:v>
      </x:c>
      <x:c r="H19" s="58" t="str">
        <x:v>Approved PNG → editable XML → live visual QA</x:v>
      </x:c>
    </x:row>
    <x:row r="20" ht="42" customHeight="1">
      <x:c r="A20" s="57" t="n">
        <x:v>6</x:v>
      </x:c>
      <x:c r="B20" s="98" t="n">
        <x:v>24</x:v>
      </x:c>
      <x:c r="C20" s="98" t="str">
        <x:v>Enterprise DevSecOps Software Supply Chain &amp; CI/CD</x:v>
      </x:c>
      <x:c r="D20" s="98" t="str">
        <x:v>REBUILD</x:v>
      </x:c>
      <x:c r="E20" s="98" t="str">
        <x:v>P0</x:v>
      </x:c>
      <x:c r="F20" s="98" t="str">
        <x:v>3.2 Technical Accuracy Cleanup</x:v>
      </x:c>
      <x:c r="G20" s="98" t="str">
        <x:v>Not Reviewed</x:v>
      </x:c>
      <x:c r="H20" s="58" t="str">
        <x:v>Approved PNG → editable XML → live visual QA</x:v>
      </x:c>
    </x:row>
    <x:row r="21" ht="42" customHeight="1">
      <x:c r="A21" s="57" t="n">
        <x:v>7</x:v>
      </x:c>
      <x:c r="B21" s="98" t="n">
        <x:v>30</x:v>
      </x:c>
      <x:c r="C21" s="98" t="str">
        <x:v>Enterprise SRE, Observability &amp; Reliability Architecture</x:v>
      </x:c>
      <x:c r="D21" s="98" t="str">
        <x:v>REBUILD</x:v>
      </x:c>
      <x:c r="E21" s="98" t="str">
        <x:v>P0</x:v>
      </x:c>
      <x:c r="F21" s="98" t="str">
        <x:v>3.2 Technical Accuracy Cleanup</x:v>
      </x:c>
      <x:c r="G21" s="98" t="str">
        <x:v>Not Reviewed</x:v>
      </x:c>
      <x:c r="H21" s="58" t="str">
        <x:v>Approved PNG → editable XML → live visual QA</x:v>
      </x:c>
    </x:row>
    <x:row r="22" ht="42" customHeight="1">
      <x:c r="A22" s="57" t="n">
        <x:v>8</x:v>
      </x:c>
      <x:c r="B22" s="98" t="n">
        <x:v>33</x:v>
      </x:c>
      <x:c r="C22" s="98" t="str">
        <x:v>LLM Capacity, Quota &amp; Provisioned Throughput Architecture</x:v>
      </x:c>
      <x:c r="D22" s="98" t="str">
        <x:v>REBUILD</x:v>
      </x:c>
      <x:c r="E22" s="98" t="str">
        <x:v>P0</x:v>
      </x:c>
      <x:c r="F22" s="98" t="str">
        <x:v>3.2 Technical Accuracy Cleanup</x:v>
      </x:c>
      <x:c r="G22" s="98" t="str">
        <x:v>Not Reviewed</x:v>
      </x:c>
      <x:c r="H22" s="58" t="str">
        <x:v>Approved PNG → editable XML → live visual QA</x:v>
      </x:c>
    </x:row>
    <x:row r="23" ht="42" customHeight="1">
      <x:c r="A23" s="57" t="n">
        <x:v>9</x:v>
      </x:c>
      <x:c r="B23" s="98" t="n">
        <x:v>39</x:v>
      </x:c>
      <x:c r="C23" s="98" t="str">
        <x:v>Equipment Predictive Maintenance &amp; Closed-Loop Service Architecture</x:v>
      </x:c>
      <x:c r="D23" s="98" t="str">
        <x:v>DIFFERENTIATE</x:v>
      </x:c>
      <x:c r="E23" s="98" t="str">
        <x:v>P0</x:v>
      </x:c>
      <x:c r="F23" s="98" t="str">
        <x:v>3.3 Duplication &amp; Portfolio Rationalization</x:v>
      </x:c>
      <x:c r="G23" s="98" t="str">
        <x:v>Not Reviewed</x:v>
      </x:c>
      <x:c r="H23" s="58" t="str">
        <x:v>Distinct approved scope → implementation → live comparison</x:v>
      </x:c>
    </x:row>
    <x:row r="24" ht="42" customHeight="1">
      <x:c r="A24" s="57" t="n">
        <x:v>10</x:v>
      </x:c>
      <x:c r="B24" s="98" t="n">
        <x:v>42</x:v>
      </x:c>
      <x:c r="C24" s="98" t="str">
        <x:v>Smart Factory Digital Twin &amp; Edge-to-Cloud Operations Platform</x:v>
      </x:c>
      <x:c r="D24" s="98" t="str">
        <x:v>DIFFERENTIATE</x:v>
      </x:c>
      <x:c r="E24" s="98" t="str">
        <x:v>P0</x:v>
      </x:c>
      <x:c r="F24" s="98" t="str">
        <x:v>3.3 Duplication &amp; Portfolio Rationalization</x:v>
      </x:c>
      <x:c r="G24" s="98" t="str">
        <x:v>Not Reviewed</x:v>
      </x:c>
      <x:c r="H24" s="58" t="str">
        <x:v>Distinct approved scope → implementation → live comparison</x:v>
      </x:c>
    </x:row>
    <x:row r="25" ht="42" customHeight="1">
      <x:c r="A25" s="57" t="n">
        <x:v>11</x:v>
      </x:c>
      <x:c r="B25" s="98" t="n">
        <x:v>44</x:v>
      </x:c>
      <x:c r="C25" s="98" t="str">
        <x:v>Healthcare Interoperability, FHIR/HL7 &amp; Clinical AI Platform</x:v>
      </x:c>
      <x:c r="D25" s="98" t="str">
        <x:v>REBUILD / POLISH</x:v>
      </x:c>
      <x:c r="E25" s="98" t="str">
        <x:v>P0</x:v>
      </x:c>
      <x:c r="F25" s="98" t="str">
        <x:v>3.2 Technical Accuracy Cleanup</x:v>
      </x:c>
      <x:c r="G25" s="98" t="str">
        <x:v>Not Reviewed</x:v>
      </x:c>
      <x:c r="H25" s="58" t="str">
        <x:v>Approved PNG → editable XML → live visual QA</x:v>
      </x:c>
    </x:row>
    <x:row r="26" ht="42" customHeight="1">
      <x:c r="A26" s="57" t="n">
        <x:v>12</x:v>
      </x:c>
      <x:c r="B26" s="98" t="n">
        <x:v>22</x:v>
      </x:c>
      <x:c r="C26" s="98" t="str">
        <x:v>AI Security, Risk &amp; Guardrail Architecture</x:v>
      </x:c>
      <x:c r="D26" s="98" t="str">
        <x:v>CHANGE</x:v>
      </x:c>
      <x:c r="E26" s="98" t="str">
        <x:v>P1</x:v>
      </x:c>
      <x:c r="F26" s="98" t="str">
        <x:v>3.2 Technical Accuracy Cleanup</x:v>
      </x:c>
      <x:c r="G26" s="98" t="str">
        <x:v>Not Reviewed</x:v>
      </x:c>
      <x:c r="H26" s="58" t="str">
        <x:v>Technical correction → rendered QA</x:v>
      </x:c>
    </x:row>
    <x:row r="27" ht="42" customHeight="1">
      <x:c r="A27" s="57" t="n">
        <x:v>13</x:v>
      </x:c>
      <x:c r="B27" s="98" t="n">
        <x:v>11</x:v>
      </x:c>
      <x:c r="C27" s="98" t="str">
        <x:v>Unified Data Governance, Catalog &amp; Access Control</x:v>
      </x:c>
      <x:c r="D27" s="98" t="str">
        <x:v>CHANGE</x:v>
      </x:c>
      <x:c r="E27" s="98" t="str">
        <x:v>P1</x:v>
      </x:c>
      <x:c r="F27" s="98" t="str">
        <x:v>3.2 Technical Accuracy Cleanup</x:v>
      </x:c>
      <x:c r="G27" s="98" t="str">
        <x:v>Not Reviewed</x:v>
      </x:c>
      <x:c r="H27" s="58" t="str">
        <x:v>Technical correction → rendered QA</x:v>
      </x:c>
    </x:row>
    <x:row r="28" ht="42" customHeight="1">
      <x:c r="A28" s="57" t="n">
        <x:v>14</x:v>
      </x:c>
      <x:c r="B28" s="98" t="n">
        <x:v>46</x:v>
      </x:c>
      <x:c r="C28" s="98" t="str">
        <x:v>C4 Level 3 Component &amp; Microservice LLD</x:v>
      </x:c>
      <x:c r="D28" s="98" t="str">
        <x:v>CHANGE</x:v>
      </x:c>
      <x:c r="E28" s="98" t="str">
        <x:v>P1</x:v>
      </x:c>
      <x:c r="F28" s="98" t="str">
        <x:v>3.2 Technical Accuracy Cleanup</x:v>
      </x:c>
      <x:c r="G28" s="98" t="str">
        <x:v>Not Reviewed</x:v>
      </x:c>
      <x:c r="H28" s="58" t="str">
        <x:v>Technical correction → rendered QA</x:v>
      </x:c>
    </x:row>
    <x:row r="29" ht="42" customHeight="1">
      <x:c r="A29" s="59" t="n">
        <x:v>15</x:v>
      </x:c>
      <x:c r="B29" s="99" t="n">
        <x:v>48</x:v>
      </x:c>
      <x:c r="C29" s="99" t="str">
        <x:v>STRIDE Threat Model, Trust Boundaries &amp; Mitigation Map</x:v>
      </x:c>
      <x:c r="D29" s="99" t="str">
        <x:v>KEEP + CHANGE</x:v>
      </x:c>
      <x:c r="E29" s="99" t="str">
        <x:v>P1</x:v>
      </x:c>
      <x:c r="F29" s="99" t="str">
        <x:v>3.2 Technical Accuracy Cleanup</x:v>
      </x:c>
      <x:c r="G29" s="99" t="str">
        <x:v>Not Reviewed</x:v>
      </x:c>
      <x:c r="H29" s="60" t="str">
        <x:v>Technical correction → rendered QA</x:v>
      </x:c>
    </x:row>
  </x:sheetData>
  <x:mergeCells>
    <x:mergeCell ref="A1:H1"/>
    <x:mergeCell ref="A2:H2"/>
    <x:mergeCell ref="A3:H3"/>
    <x:mergeCell ref="A4:H4"/>
  </x:mergeCells>
  <x:conditionalFormatting sqref="E15:E29">
    <x:cfRule type="cellIs" dxfId="18" priority="1">
      <x:formula>"P0"</x:formula>
    </x:cfRule>
    <x:cfRule type="cellIs" dxfId="19" priority="2">
      <x:formula>"P1"</x:formula>
    </x:cfRule>
    <x:cfRule type="cellIs" dxfId="20" priority="3">
      <x:formula>"P2"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8" hidden="0" customWidth="1"/>
    <x:col min="3" max="3" width="10" hidden="0" customWidth="1"/>
    <x:col min="4" max="4" width="20" hidden="0" customWidth="1"/>
    <x:col min="5" max="5" width="24" hidden="0" customWidth="1"/>
    <x:col min="6" max="6" width="18" hidden="0" customWidth="1"/>
    <x:col min="7" max="7" width="18" hidden="0" customWidth="1"/>
    <x:col min="8" max="8" width="16" hidden="0" customWidth="1"/>
    <x:col min="9" max="9" width="22" hidden="0" customWidth="1"/>
    <x:col min="10" max="10" width="20" hidden="0" customWidth="1"/>
    <x:col min="11" max="11" width="18" hidden="0" customWidth="1"/>
  </x:cols>
  <x:sheetData>
    <x:row r="1" ht="28" customHeight="1">
      <x:c r="A1" s="4" t="str">
        <x:v>Blueprint QA &amp; Certification Scorecard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11" t="str">
        <x:v>Self-contained acceptance model for every current and proposed blueprint. A blueprint should not be called complete until the live rendered diagram is reviewed.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 ht="28" customHeight="1">
      <x:c r="A3" s="18" t="str">
        <x:v>Certification dimensions: Technical Accuracy; Architecture Completeness; Flow Clarity; Visual Quality; Uniqueness; Document Usefulness; Rendering Quality.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</x:row>
    <x:row r="4" ht="28" customHeight="1">
      <x:c r="A4" s="18" t="str">
        <x:v>Status values: Not Reviewed | Fail | Needs Fix | Pass. Overall certification should be 'Certified' only when all seven dimensions pass and no P0/P1 defect remains.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</x:row>
    <x:row r="6" ht="34" customHeight="1">
      <x:c r="A6" s="30" t="str">
        <x:v>Dimension</x:v>
      </x:c>
      <x:c r="B6" s="135" t="str">
        <x:v>Pass Criteria</x:v>
      </x:c>
      <x:c r="C6" s="135" t="str">
        <x:v>Severity if Failed</x:v>
      </x:c>
      <x:c r="D6" s="31" t="str">
        <x:v>Evidence Type</x:v>
      </x:c>
    </x:row>
    <x:row r="7" ht="52" customHeight="1">
      <x:c r="A7" s="55" t="str">
        <x:v>Technical Accuracy</x:v>
      </x:c>
      <x:c r="B7" s="97" t="str">
        <x:v>Current product names; correct service responsibilities; no invented products; no contradictory architecture semantics.</x:v>
      </x:c>
      <x:c r="C7" s="97" t="str">
        <x:v>P0</x:v>
      </x:c>
      <x:c r="D7" s="56" t="str">
        <x:v>Manual + source QA</x:v>
      </x:c>
    </x:row>
    <x:row r="8" ht="52" customHeight="1">
      <x:c r="A8" s="57" t="str">
        <x:v>Architecture Completeness</x:v>
      </x:c>
      <x:c r="B8" s="98" t="str">
        <x:v>Appropriate security, identity, observability, resilience, failure/retry, governance and data-flow concerns are present.</x:v>
      </x:c>
      <x:c r="C8" s="98" t="str">
        <x:v>P1</x:v>
      </x:c>
      <x:c r="D8" s="58" t="str">
        <x:v>Manual architecture review</x:v>
      </x:c>
    </x:row>
    <x:row r="9" ht="52" customHeight="1">
      <x:c r="A9" s="57" t="str">
        <x:v>Flow Clarity</x:v>
      </x:c>
      <x:c r="B9" s="98" t="str">
        <x:v>Primary path, responses/async paths and control/governance paths are understandable without reverse-engineering arrows.</x:v>
      </x:c>
      <x:c r="C9" s="98" t="str">
        <x:v>P1</x:v>
      </x:c>
      <x:c r="D9" s="58" t="str">
        <x:v>Rendered visual review</x:v>
      </x:c>
    </x:row>
    <x:row r="10" ht="52" customHeight="1">
      <x:c r="A10" s="57" t="str">
        <x:v>Visual Quality</x:v>
      </x:c>
      <x:c r="B10" s="98" t="str">
        <x:v>Readable typography; spacing; no overlaps; hierarchy; reliable icons; semantic colors; professional composition.</x:v>
      </x:c>
      <x:c r="C10" s="98" t="str">
        <x:v>P1</x:v>
      </x:c>
      <x:c r="D10" s="58" t="str">
        <x:v>Rendered visual review</x:v>
      </x:c>
    </x:row>
    <x:row r="11" ht="52" customHeight="1">
      <x:c r="A11" s="57" t="str">
        <x:v>Uniqueness</x:v>
      </x:c>
      <x:c r="B11" s="98" t="str">
        <x:v>The blueprint solves a materially distinct architecture problem and does not duplicate another card.</x:v>
      </x:c>
      <x:c r="C11" s="98" t="str">
        <x:v>P1</x:v>
      </x:c>
      <x:c r="D11" s="58" t="str">
        <x:v>Portfolio review</x:v>
      </x:c>
    </x:row>
    <x:row r="12" ht="52" customHeight="1">
      <x:c r="A12" s="57" t="str">
        <x:v>Document Usefulness</x:v>
      </x:c>
      <x:c r="B12" s="98" t="str">
        <x:v>Primary and secondary document-pack mappings are clear and make sense to users.</x:v>
      </x:c>
      <x:c r="C12" s="98" t="str">
        <x:v>P2</x:v>
      </x:c>
      <x:c r="D12" s="58" t="str">
        <x:v>Taxonomy review</x:v>
      </x:c>
    </x:row>
    <x:row r="13" ht="52" customHeight="1">
      <x:c r="A13" s="59" t="str">
        <x:v>Rendering Quality</x:v>
      </x:c>
      <x:c r="B13" s="99" t="str">
        <x:v>Desktop/mobile live app render matches the approved design and deep links load the intended master.</x:v>
      </x:c>
      <x:c r="C13" s="99" t="str">
        <x:v>P0</x:v>
      </x:c>
      <x:c r="D13" s="60" t="str">
        <x:v>Live application QA</x:v>
      </x:c>
    </x:row>
    <x:row r="15" ht="34" customHeight="1">
      <x:c r="A15" s="30" t="str">
        <x:v>#</x:v>
      </x:c>
      <x:c r="B15" s="135" t="str">
        <x:v>Blueprint</x:v>
      </x:c>
      <x:c r="C15" s="135" t="str">
        <x:v>Priority</x:v>
      </x:c>
      <x:c r="D15" s="135" t="str">
        <x:v>Technical Accuracy</x:v>
      </x:c>
      <x:c r="E15" s="135" t="str">
        <x:v>Architecture Completeness</x:v>
      </x:c>
      <x:c r="F15" s="135" t="str">
        <x:v>Flow Clarity</x:v>
      </x:c>
      <x:c r="G15" s="135" t="str">
        <x:v>Visual Quality</x:v>
      </x:c>
      <x:c r="H15" s="135" t="str">
        <x:v>Uniqueness</x:v>
      </x:c>
      <x:c r="I15" s="135" t="str">
        <x:v>Document Usefulness</x:v>
      </x:c>
      <x:c r="J15" s="135" t="str">
        <x:v>Rendering Quality</x:v>
      </x:c>
      <x:c r="K15" s="31" t="str">
        <x:v>Overall Status</x:v>
      </x:c>
    </x:row>
    <x:row r="16" ht="32" customHeight="1">
      <x:c r="A16" s="55" t="n">
        <x:v>1</x:v>
      </x:c>
      <x:c r="B16" s="97" t="str">
        <x:v>Legacy Data Dependency &amp; Migration Wave Map</x:v>
      </x:c>
      <x:c r="C16" s="97" t="str">
        <x:v>P1</x:v>
      </x:c>
      <x:c r="D16" s="97" t="str">
        <x:v>Not Reviewed</x:v>
      </x:c>
      <x:c r="E16" s="97" t="str">
        <x:v>Not Reviewed</x:v>
      </x:c>
      <x:c r="F16" s="97" t="str">
        <x:v>Not Reviewed</x:v>
      </x:c>
      <x:c r="G16" s="97" t="str">
        <x:v>Not Reviewed</x:v>
      </x:c>
      <x:c r="H16" s="97" t="str">
        <x:v>Not Reviewed</x:v>
      </x:c>
      <x:c r="I16" s="97" t="str">
        <x:v>Not Reviewed</x:v>
      </x:c>
      <x:c r="J16" s="97" t="str">
        <x:v>Not Reviewed</x:v>
      </x:c>
      <x:c r="K16" s="56" t="str">
        <x:v>Not Reviewed</x:v>
      </x:c>
    </x:row>
    <x:row r="17" ht="32" customHeight="1">
      <x:c r="A17" s="57" t="n">
        <x:v>2</x:v>
      </x:c>
      <x:c r="B17" s="98" t="str">
        <x:v>Hybrid / Strangler Fig Transition Architecture</x:v>
      </x:c>
      <x:c r="C17" s="98" t="str">
        <x:v>P2</x:v>
      </x:c>
      <x:c r="D17" s="98" t="str">
        <x:v>Not Reviewed</x:v>
      </x:c>
      <x:c r="E17" s="98" t="str">
        <x:v>Not Reviewed</x:v>
      </x:c>
      <x:c r="F17" s="98" t="str">
        <x:v>Not Reviewed</x:v>
      </x:c>
      <x:c r="G17" s="98" t="str">
        <x:v>Not Reviewed</x:v>
      </x:c>
      <x:c r="H17" s="98" t="str">
        <x:v>Not Reviewed</x:v>
      </x:c>
      <x:c r="I17" s="98" t="str">
        <x:v>Not Reviewed</x:v>
      </x:c>
      <x:c r="J17" s="98" t="str">
        <x:v>Not Reviewed</x:v>
      </x:c>
      <x:c r="K17" s="58" t="str">
        <x:v>Not Reviewed</x:v>
      </x:c>
    </x:row>
    <x:row r="18" ht="32" customHeight="1">
      <x:c r="A18" s="57" t="n">
        <x:v>3</x:v>
      </x:c>
      <x:c r="B18" s="98" t="str">
        <x:v>Enterprise AI Delivery Value Stream Map</x:v>
      </x:c>
      <x:c r="C18" s="98" t="str">
        <x:v>P1</x:v>
      </x:c>
      <x:c r="D18" s="98" t="str">
        <x:v>Not Reviewed</x:v>
      </x:c>
      <x:c r="E18" s="98" t="str">
        <x:v>Not Reviewed</x:v>
      </x:c>
      <x:c r="F18" s="98" t="str">
        <x:v>Not Reviewed</x:v>
      </x:c>
      <x:c r="G18" s="98" t="str">
        <x:v>Not Reviewed</x:v>
      </x:c>
      <x:c r="H18" s="98" t="str">
        <x:v>Not Reviewed</x:v>
      </x:c>
      <x:c r="I18" s="98" t="str">
        <x:v>Not Reviewed</x:v>
      </x:c>
      <x:c r="J18" s="98" t="str">
        <x:v>Not Reviewed</x:v>
      </x:c>
      <x:c r="K18" s="58" t="str">
        <x:v>Not Reviewed</x:v>
      </x:c>
    </x:row>
    <x:row r="19" ht="32" customHeight="1">
      <x:c r="A19" s="57" t="n">
        <x:v>4</x:v>
      </x:c>
      <x:c r="B19" s="98" t="str">
        <x:v>As-Is vs. To-Be Process &amp; Architecture Flow</x:v>
      </x:c>
      <x:c r="C19" s="98" t="str">
        <x:v>P2</x:v>
      </x:c>
      <x:c r="D19" s="98" t="str">
        <x:v>Not Reviewed</x:v>
      </x:c>
      <x:c r="E19" s="98" t="str">
        <x:v>Not Reviewed</x:v>
      </x:c>
      <x:c r="F19" s="98" t="str">
        <x:v>Not Reviewed</x:v>
      </x:c>
      <x:c r="G19" s="98" t="str">
        <x:v>Not Reviewed</x:v>
      </x:c>
      <x:c r="H19" s="98" t="str">
        <x:v>Not Reviewed</x:v>
      </x:c>
      <x:c r="I19" s="98" t="str">
        <x:v>Not Reviewed</x:v>
      </x:c>
      <x:c r="J19" s="98" t="str">
        <x:v>Not Reviewed</x:v>
      </x:c>
      <x:c r="K19" s="58" t="str">
        <x:v>Not Reviewed</x:v>
      </x:c>
    </x:row>
    <x:row r="20" ht="32" customHeight="1">
      <x:c r="A20" s="57" t="n">
        <x:v>5</x:v>
      </x:c>
      <x:c r="B20" s="98" t="str">
        <x:v>Google Cloud FinOps, Allocation &amp; Chargeback Architecture</x:v>
      </x:c>
      <x:c r="C20" s="98" t="str">
        <x:v>P0</x:v>
      </x:c>
      <x:c r="D20" s="98" t="str">
        <x:v>Not Reviewed</x:v>
      </x:c>
      <x:c r="E20" s="98" t="str">
        <x:v>Not Reviewed</x:v>
      </x:c>
      <x:c r="F20" s="98" t="str">
        <x:v>Not Reviewed</x:v>
      </x:c>
      <x:c r="G20" s="98" t="str">
        <x:v>Not Reviewed</x:v>
      </x:c>
      <x:c r="H20" s="98" t="str">
        <x:v>Not Reviewed</x:v>
      </x:c>
      <x:c r="I20" s="98" t="str">
        <x:v>Not Reviewed</x:v>
      </x:c>
      <x:c r="J20" s="98" t="str">
        <x:v>Not Reviewed</x:v>
      </x:c>
      <x:c r="K20" s="58" t="str">
        <x:v>Not Reviewed</x:v>
      </x:c>
    </x:row>
    <x:row r="21" ht="32" customHeight="1">
      <x:c r="A21" s="57" t="n">
        <x:v>6</x:v>
      </x:c>
      <x:c r="B21" s="98" t="str">
        <x:v>Enterprise Reference Architecture</x:v>
      </x:c>
      <x:c r="C21" s="98" t="str">
        <x:v>P0</x:v>
      </x:c>
      <x:c r="D21" s="98" t="str">
        <x:v>Not Reviewed</x:v>
      </x:c>
      <x:c r="E21" s="98" t="str">
        <x:v>Not Reviewed</x:v>
      </x:c>
      <x:c r="F21" s="98" t="str">
        <x:v>Not Reviewed</x:v>
      </x:c>
      <x:c r="G21" s="98" t="str">
        <x:v>Not Reviewed</x:v>
      </x:c>
      <x:c r="H21" s="98" t="str">
        <x:v>Not Reviewed</x:v>
      </x:c>
      <x:c r="I21" s="98" t="str">
        <x:v>Not Reviewed</x:v>
      </x:c>
      <x:c r="J21" s="98" t="str">
        <x:v>Not Reviewed</x:v>
      </x:c>
      <x:c r="K21" s="58" t="str">
        <x:v>Not Reviewed</x:v>
      </x:c>
    </x:row>
    <x:row r="22" ht="32" customHeight="1">
      <x:c r="A22" s="57" t="n">
        <x:v>7</x:v>
      </x:c>
      <x:c r="B22" s="98" t="str">
        <x:v>Agentic RAG &amp; Grounded AI Architecture</x:v>
      </x:c>
      <x:c r="C22" s="98" t="str">
        <x:v>P1</x:v>
      </x:c>
      <x:c r="D22" s="98" t="str">
        <x:v>Not Reviewed</x:v>
      </x:c>
      <x:c r="E22" s="98" t="str">
        <x:v>Not Reviewed</x:v>
      </x:c>
      <x:c r="F22" s="98" t="str">
        <x:v>Not Reviewed</x:v>
      </x:c>
      <x:c r="G22" s="98" t="str">
        <x:v>Not Reviewed</x:v>
      </x:c>
      <x:c r="H22" s="98" t="str">
        <x:v>Not Reviewed</x:v>
      </x:c>
      <x:c r="I22" s="98" t="str">
        <x:v>Not Reviewed</x:v>
      </x:c>
      <x:c r="J22" s="98" t="str">
        <x:v>Not Reviewed</x:v>
      </x:c>
      <x:c r="K22" s="58" t="str">
        <x:v>Not Reviewed</x:v>
      </x:c>
    </x:row>
    <x:row r="23" ht="32" customHeight="1">
      <x:c r="A23" s="57" t="n">
        <x:v>8</x:v>
      </x:c>
      <x:c r="B23" s="98" t="str">
        <x:v>Hub-and-Spoke Multi-Agent Orchestration</x:v>
      </x:c>
      <x:c r="C23" s="98" t="str">
        <x:v>P1</x:v>
      </x:c>
      <x:c r="D23" s="98" t="str">
        <x:v>Not Reviewed</x:v>
      </x:c>
      <x:c r="E23" s="98" t="str">
        <x:v>Not Reviewed</x:v>
      </x:c>
      <x:c r="F23" s="98" t="str">
        <x:v>Not Reviewed</x:v>
      </x:c>
      <x:c r="G23" s="98" t="str">
        <x:v>Not Reviewed</x:v>
      </x:c>
      <x:c r="H23" s="98" t="str">
        <x:v>Not Reviewed</x:v>
      </x:c>
      <x:c r="I23" s="98" t="str">
        <x:v>Not Reviewed</x:v>
      </x:c>
      <x:c r="J23" s="98" t="str">
        <x:v>Not Reviewed</x:v>
      </x:c>
      <x:c r="K23" s="58" t="str">
        <x:v>Not Reviewed</x:v>
      </x:c>
    </x:row>
    <x:row r="24" ht="32" customHeight="1">
      <x:c r="A24" s="57" t="n">
        <x:v>9</x:v>
      </x:c>
      <x:c r="B24" s="98" t="str">
        <x:v>Google Cloud Enterprise Data Lakehouse &amp; AI Consumption</x:v>
      </x:c>
      <x:c r="C24" s="98" t="str">
        <x:v>P1</x:v>
      </x:c>
      <x:c r="D24" s="98" t="str">
        <x:v>Not Reviewed</x:v>
      </x:c>
      <x:c r="E24" s="98" t="str">
        <x:v>Not Reviewed</x:v>
      </x:c>
      <x:c r="F24" s="98" t="str">
        <x:v>Not Reviewed</x:v>
      </x:c>
      <x:c r="G24" s="98" t="str">
        <x:v>Not Reviewed</x:v>
      </x:c>
      <x:c r="H24" s="98" t="str">
        <x:v>Not Reviewed</x:v>
      </x:c>
      <x:c r="I24" s="98" t="str">
        <x:v>Not Reviewed</x:v>
      </x:c>
      <x:c r="J24" s="98" t="str">
        <x:v>Not Reviewed</x:v>
      </x:c>
      <x:c r="K24" s="58" t="str">
        <x:v>Not Reviewed</x:v>
      </x:c>
    </x:row>
    <x:row r="25" ht="32" customHeight="1">
      <x:c r="A25" s="57" t="n">
        <x:v>10</x:v>
      </x:c>
      <x:c r="B25" s="98" t="str">
        <x:v>Dimensional Data Model - Crow's Foot ERD</x:v>
      </x:c>
      <x:c r="C25" s="98" t="str">
        <x:v>P2</x:v>
      </x:c>
      <x:c r="D25" s="98" t="str">
        <x:v>Not Reviewed</x:v>
      </x:c>
      <x:c r="E25" s="98" t="str">
        <x:v>Not Reviewed</x:v>
      </x:c>
      <x:c r="F25" s="98" t="str">
        <x:v>Not Reviewed</x:v>
      </x:c>
      <x:c r="G25" s="98" t="str">
        <x:v>Not Reviewed</x:v>
      </x:c>
      <x:c r="H25" s="98" t="str">
        <x:v>Not Reviewed</x:v>
      </x:c>
      <x:c r="I25" s="98" t="str">
        <x:v>Not Reviewed</x:v>
      </x:c>
      <x:c r="J25" s="98" t="str">
        <x:v>Not Reviewed</x:v>
      </x:c>
      <x:c r="K25" s="58" t="str">
        <x:v>Not Reviewed</x:v>
      </x:c>
    </x:row>
    <x:row r="26" ht="32" customHeight="1">
      <x:c r="A26" s="57" t="n">
        <x:v>11</x:v>
      </x:c>
      <x:c r="B26" s="98" t="str">
        <x:v>Unified Data Governance, Catalog &amp; Access Control</x:v>
      </x:c>
      <x:c r="C26" s="98" t="str">
        <x:v>P1</x:v>
      </x:c>
      <x:c r="D26" s="98" t="str">
        <x:v>Not Reviewed</x:v>
      </x:c>
      <x:c r="E26" s="98" t="str">
        <x:v>Not Reviewed</x:v>
      </x:c>
      <x:c r="F26" s="98" t="str">
        <x:v>Not Reviewed</x:v>
      </x:c>
      <x:c r="G26" s="98" t="str">
        <x:v>Not Reviewed</x:v>
      </x:c>
      <x:c r="H26" s="98" t="str">
        <x:v>Not Reviewed</x:v>
      </x:c>
      <x:c r="I26" s="98" t="str">
        <x:v>Not Reviewed</x:v>
      </x:c>
      <x:c r="J26" s="98" t="str">
        <x:v>Not Reviewed</x:v>
      </x:c>
      <x:c r="K26" s="58" t="str">
        <x:v>Not Reviewed</x:v>
      </x:c>
    </x:row>
    <x:row r="27" ht="32" customHeight="1">
      <x:c r="A27" s="57" t="n">
        <x:v>12</x:v>
      </x:c>
      <x:c r="B27" s="98" t="str">
        <x:v>Federated Workforce Identity, SSO &amp; IAM Architecture</x:v>
      </x:c>
      <x:c r="C27" s="98" t="str">
        <x:v>P1</x:v>
      </x:c>
      <x:c r="D27" s="98" t="str">
        <x:v>Not Reviewed</x:v>
      </x:c>
      <x:c r="E27" s="98" t="str">
        <x:v>Not Reviewed</x:v>
      </x:c>
      <x:c r="F27" s="98" t="str">
        <x:v>Not Reviewed</x:v>
      </x:c>
      <x:c r="G27" s="98" t="str">
        <x:v>Not Reviewed</x:v>
      </x:c>
      <x:c r="H27" s="98" t="str">
        <x:v>Not Reviewed</x:v>
      </x:c>
      <x:c r="I27" s="98" t="str">
        <x:v>Not Reviewed</x:v>
      </x:c>
      <x:c r="J27" s="98" t="str">
        <x:v>Not Reviewed</x:v>
      </x:c>
      <x:c r="K27" s="58" t="str">
        <x:v>Not Reviewed</x:v>
      </x:c>
    </x:row>
    <x:row r="28" ht="32" customHeight="1">
      <x:c r="A28" s="57" t="n">
        <x:v>13</x:v>
      </x:c>
      <x:c r="B28" s="98" t="str">
        <x:v>Enterprise Micro-Frontend Architecture</x:v>
      </x:c>
      <x:c r="C28" s="98" t="str">
        <x:v>P2</x:v>
      </x:c>
      <x:c r="D28" s="98" t="str">
        <x:v>Not Reviewed</x:v>
      </x:c>
      <x:c r="E28" s="98" t="str">
        <x:v>Not Reviewed</x:v>
      </x:c>
      <x:c r="F28" s="98" t="str">
        <x:v>Not Reviewed</x:v>
      </x:c>
      <x:c r="G28" s="98" t="str">
        <x:v>Not Reviewed</x:v>
      </x:c>
      <x:c r="H28" s="98" t="str">
        <x:v>Not Reviewed</x:v>
      </x:c>
      <x:c r="I28" s="98" t="str">
        <x:v>Not Reviewed</x:v>
      </x:c>
      <x:c r="J28" s="98" t="str">
        <x:v>Not Reviewed</x:v>
      </x:c>
      <x:c r="K28" s="58" t="str">
        <x:v>Not Reviewed</x:v>
      </x:c>
    </x:row>
    <x:row r="29" ht="32" customHeight="1">
      <x:c r="A29" s="57" t="n">
        <x:v>14</x:v>
      </x:c>
      <x:c r="B29" s="98" t="str">
        <x:v>Multi-Tenant AI Platform Isolation &amp; Configuration</x:v>
      </x:c>
      <x:c r="C29" s="98" t="str">
        <x:v>P1</x:v>
      </x:c>
      <x:c r="D29" s="98" t="str">
        <x:v>Not Reviewed</x:v>
      </x:c>
      <x:c r="E29" s="98" t="str">
        <x:v>Not Reviewed</x:v>
      </x:c>
      <x:c r="F29" s="98" t="str">
        <x:v>Not Reviewed</x:v>
      </x:c>
      <x:c r="G29" s="98" t="str">
        <x:v>Not Reviewed</x:v>
      </x:c>
      <x:c r="H29" s="98" t="str">
        <x:v>Not Reviewed</x:v>
      </x:c>
      <x:c r="I29" s="98" t="str">
        <x:v>Not Reviewed</x:v>
      </x:c>
      <x:c r="J29" s="98" t="str">
        <x:v>Not Reviewed</x:v>
      </x:c>
      <x:c r="K29" s="58" t="str">
        <x:v>Not Reviewed</x:v>
      </x:c>
    </x:row>
    <x:row r="30" ht="32" customHeight="1">
      <x:c r="A30" s="57" t="n">
        <x:v>15</x:v>
      </x:c>
      <x:c r="B30" s="98" t="str">
        <x:v>Multi-Agent Execution Sequence Diagram</x:v>
      </x:c>
      <x:c r="C30" s="98" t="str">
        <x:v>P2</x:v>
      </x:c>
      <x:c r="D30" s="98" t="str">
        <x:v>Not Reviewed</x:v>
      </x:c>
      <x:c r="E30" s="98" t="str">
        <x:v>Not Reviewed</x:v>
      </x:c>
      <x:c r="F30" s="98" t="str">
        <x:v>Not Reviewed</x:v>
      </x:c>
      <x:c r="G30" s="98" t="str">
        <x:v>Not Reviewed</x:v>
      </x:c>
      <x:c r="H30" s="98" t="str">
        <x:v>Not Reviewed</x:v>
      </x:c>
      <x:c r="I30" s="98" t="str">
        <x:v>Not Reviewed</x:v>
      </x:c>
      <x:c r="J30" s="98" t="str">
        <x:v>Not Reviewed</x:v>
      </x:c>
      <x:c r="K30" s="58" t="str">
        <x:v>Not Reviewed</x:v>
      </x:c>
    </x:row>
    <x:row r="31" ht="32" customHeight="1">
      <x:c r="A31" s="57" t="n">
        <x:v>16</x:v>
      </x:c>
      <x:c r="B31" s="98" t="str">
        <x:v>Secure Google Cloud Deployment &amp; Trust Boundary Topology</x:v>
      </x:c>
      <x:c r="C31" s="98" t="str">
        <x:v>P1</x:v>
      </x:c>
      <x:c r="D31" s="98" t="str">
        <x:v>Not Reviewed</x:v>
      </x:c>
      <x:c r="E31" s="98" t="str">
        <x:v>Not Reviewed</x:v>
      </x:c>
      <x:c r="F31" s="98" t="str">
        <x:v>Not Reviewed</x:v>
      </x:c>
      <x:c r="G31" s="98" t="str">
        <x:v>Not Reviewed</x:v>
      </x:c>
      <x:c r="H31" s="98" t="str">
        <x:v>Not Reviewed</x:v>
      </x:c>
      <x:c r="I31" s="98" t="str">
        <x:v>Not Reviewed</x:v>
      </x:c>
      <x:c r="J31" s="98" t="str">
        <x:v>Not Reviewed</x:v>
      </x:c>
      <x:c r="K31" s="58" t="str">
        <x:v>Not Reviewed</x:v>
      </x:c>
    </x:row>
    <x:row r="32" ht="32" customHeight="1">
      <x:c r="A32" s="57" t="n">
        <x:v>17</x:v>
      </x:c>
      <x:c r="B32" s="98" t="str">
        <x:v>Google Cloud Landing Zone &amp; Shared VPC Topology</x:v>
      </x:c>
      <x:c r="C32" s="98" t="str">
        <x:v>P2</x:v>
      </x:c>
      <x:c r="D32" s="98" t="str">
        <x:v>Not Reviewed</x:v>
      </x:c>
      <x:c r="E32" s="98" t="str">
        <x:v>Not Reviewed</x:v>
      </x:c>
      <x:c r="F32" s="98" t="str">
        <x:v>Not Reviewed</x:v>
      </x:c>
      <x:c r="G32" s="98" t="str">
        <x:v>Not Reviewed</x:v>
      </x:c>
      <x:c r="H32" s="98" t="str">
        <x:v>Not Reviewed</x:v>
      </x:c>
      <x:c r="I32" s="98" t="str">
        <x:v>Not Reviewed</x:v>
      </x:c>
      <x:c r="J32" s="98" t="str">
        <x:v>Not Reviewed</x:v>
      </x:c>
      <x:c r="K32" s="58" t="str">
        <x:v>Not Reviewed</x:v>
      </x:c>
    </x:row>
    <x:row r="33" ht="32" customHeight="1">
      <x:c r="A33" s="57" t="n">
        <x:v>18</x:v>
      </x:c>
      <x:c r="B33" s="98" t="str">
        <x:v>Data Residency, Sovereignty &amp; Administrative Access Architecture</x:v>
      </x:c>
      <x:c r="C33" s="98" t="str">
        <x:v>P1</x:v>
      </x:c>
      <x:c r="D33" s="98" t="str">
        <x:v>Not Reviewed</x:v>
      </x:c>
      <x:c r="E33" s="98" t="str">
        <x:v>Not Reviewed</x:v>
      </x:c>
      <x:c r="F33" s="98" t="str">
        <x:v>Not Reviewed</x:v>
      </x:c>
      <x:c r="G33" s="98" t="str">
        <x:v>Not Reviewed</x:v>
      </x:c>
      <x:c r="H33" s="98" t="str">
        <x:v>Not Reviewed</x:v>
      </x:c>
      <x:c r="I33" s="98" t="str">
        <x:v>Not Reviewed</x:v>
      </x:c>
      <x:c r="J33" s="98" t="str">
        <x:v>Not Reviewed</x:v>
      </x:c>
      <x:c r="K33" s="58" t="str">
        <x:v>Not Reviewed</x:v>
      </x:c>
    </x:row>
    <x:row r="34" ht="32" customHeight="1">
      <x:c r="A34" s="57" t="n">
        <x:v>19</x:v>
      </x:c>
      <x:c r="B34" s="98" t="str">
        <x:v>Enterprise Agent Runtime Platform on Google Cloud</x:v>
      </x:c>
      <x:c r="C34" s="98" t="str">
        <x:v>P1</x:v>
      </x:c>
      <x:c r="D34" s="98" t="str">
        <x:v>Not Reviewed</x:v>
      </x:c>
      <x:c r="E34" s="98" t="str">
        <x:v>Not Reviewed</x:v>
      </x:c>
      <x:c r="F34" s="98" t="str">
        <x:v>Not Reviewed</x:v>
      </x:c>
      <x:c r="G34" s="98" t="str">
        <x:v>Not Reviewed</x:v>
      </x:c>
      <x:c r="H34" s="98" t="str">
        <x:v>Not Reviewed</x:v>
      </x:c>
      <x:c r="I34" s="98" t="str">
        <x:v>Not Reviewed</x:v>
      </x:c>
      <x:c r="J34" s="98" t="str">
        <x:v>Not Reviewed</x:v>
      </x:c>
      <x:c r="K34" s="58" t="str">
        <x:v>Not Reviewed</x:v>
      </x:c>
    </x:row>
    <x:row r="35" ht="32" customHeight="1">
      <x:c r="A35" s="57" t="n">
        <x:v>20</x:v>
      </x:c>
      <x:c r="B35" s="98" t="str">
        <x:v>Hybrid Multi-Cloud Networking &amp; Gemini Enterprise</x:v>
      </x:c>
      <x:c r="C35" s="98" t="str">
        <x:v>P0</x:v>
      </x:c>
      <x:c r="D35" s="98" t="str">
        <x:v>Not Reviewed</x:v>
      </x:c>
      <x:c r="E35" s="98" t="str">
        <x:v>Not Reviewed</x:v>
      </x:c>
      <x:c r="F35" s="98" t="str">
        <x:v>Not Reviewed</x:v>
      </x:c>
      <x:c r="G35" s="98" t="str">
        <x:v>Not Reviewed</x:v>
      </x:c>
      <x:c r="H35" s="98" t="str">
        <x:v>Not Reviewed</x:v>
      </x:c>
      <x:c r="I35" s="98" t="str">
        <x:v>Not Reviewed</x:v>
      </x:c>
      <x:c r="J35" s="98" t="str">
        <x:v>Not Reviewed</x:v>
      </x:c>
      <x:c r="K35" s="58" t="str">
        <x:v>Not Reviewed</x:v>
      </x:c>
    </x:row>
    <x:row r="36" ht="32" customHeight="1">
      <x:c r="A36" s="57" t="n">
        <x:v>21</x:v>
      </x:c>
      <x:c r="B36" s="98" t="str">
        <x:v>Agentic AI Evaluation, Safety &amp; Optimization Platform</x:v>
      </x:c>
      <x:c r="C36" s="98" t="str">
        <x:v>P1</x:v>
      </x:c>
      <x:c r="D36" s="98" t="str">
        <x:v>Not Reviewed</x:v>
      </x:c>
      <x:c r="E36" s="98" t="str">
        <x:v>Not Reviewed</x:v>
      </x:c>
      <x:c r="F36" s="98" t="str">
        <x:v>Not Reviewed</x:v>
      </x:c>
      <x:c r="G36" s="98" t="str">
        <x:v>Not Reviewed</x:v>
      </x:c>
      <x:c r="H36" s="98" t="str">
        <x:v>Not Reviewed</x:v>
      </x:c>
      <x:c r="I36" s="98" t="str">
        <x:v>Not Reviewed</x:v>
      </x:c>
      <x:c r="J36" s="98" t="str">
        <x:v>Not Reviewed</x:v>
      </x:c>
      <x:c r="K36" s="58" t="str">
        <x:v>Not Reviewed</x:v>
      </x:c>
    </x:row>
    <x:row r="37" ht="32" customHeight="1">
      <x:c r="A37" s="57" t="n">
        <x:v>22</x:v>
      </x:c>
      <x:c r="B37" s="98" t="str">
        <x:v>AI Security, Risk &amp; Guardrail Architecture</x:v>
      </x:c>
      <x:c r="C37" s="98" t="str">
        <x:v>P1</x:v>
      </x:c>
      <x:c r="D37" s="98" t="str">
        <x:v>Not Reviewed</x:v>
      </x:c>
      <x:c r="E37" s="98" t="str">
        <x:v>Not Reviewed</x:v>
      </x:c>
      <x:c r="F37" s="98" t="str">
        <x:v>Not Reviewed</x:v>
      </x:c>
      <x:c r="G37" s="98" t="str">
        <x:v>Not Reviewed</x:v>
      </x:c>
      <x:c r="H37" s="98" t="str">
        <x:v>Not Reviewed</x:v>
      </x:c>
      <x:c r="I37" s="98" t="str">
        <x:v>Not Reviewed</x:v>
      </x:c>
      <x:c r="J37" s="98" t="str">
        <x:v>Not Reviewed</x:v>
      </x:c>
      <x:c r="K37" s="58" t="str">
        <x:v>Not Reviewed</x:v>
      </x:c>
    </x:row>
    <x:row r="38" ht="32" customHeight="1">
      <x:c r="A38" s="57" t="n">
        <x:v>23</x:v>
      </x:c>
      <x:c r="B38" s="98" t="str">
        <x:v>AI Agent Approval Workflow &amp; Human-in-the-Loop Governance</x:v>
      </x:c>
      <x:c r="C38" s="98" t="str">
        <x:v>P2</x:v>
      </x:c>
      <x:c r="D38" s="98" t="str">
        <x:v>Not Reviewed</x:v>
      </x:c>
      <x:c r="E38" s="98" t="str">
        <x:v>Not Reviewed</x:v>
      </x:c>
      <x:c r="F38" s="98" t="str">
        <x:v>Not Reviewed</x:v>
      </x:c>
      <x:c r="G38" s="98" t="str">
        <x:v>Not Reviewed</x:v>
      </x:c>
      <x:c r="H38" s="98" t="str">
        <x:v>Not Reviewed</x:v>
      </x:c>
      <x:c r="I38" s="98" t="str">
        <x:v>Not Reviewed</x:v>
      </x:c>
      <x:c r="J38" s="98" t="str">
        <x:v>Not Reviewed</x:v>
      </x:c>
      <x:c r="K38" s="58" t="str">
        <x:v>Not Reviewed</x:v>
      </x:c>
    </x:row>
    <x:row r="39" ht="32" customHeight="1">
      <x:c r="A39" s="57" t="n">
        <x:v>24</x:v>
      </x:c>
      <x:c r="B39" s="98" t="str">
        <x:v>Enterprise DevSecOps Software Supply Chain &amp; CI/CD</x:v>
      </x:c>
      <x:c r="C39" s="98" t="str">
        <x:v>P0</x:v>
      </x:c>
      <x:c r="D39" s="98" t="str">
        <x:v>Not Reviewed</x:v>
      </x:c>
      <x:c r="E39" s="98" t="str">
        <x:v>Not Reviewed</x:v>
      </x:c>
      <x:c r="F39" s="98" t="str">
        <x:v>Not Reviewed</x:v>
      </x:c>
      <x:c r="G39" s="98" t="str">
        <x:v>Not Reviewed</x:v>
      </x:c>
      <x:c r="H39" s="98" t="str">
        <x:v>Not Reviewed</x:v>
      </x:c>
      <x:c r="I39" s="98" t="str">
        <x:v>Not Reviewed</x:v>
      </x:c>
      <x:c r="J39" s="98" t="str">
        <x:v>Not Reviewed</x:v>
      </x:c>
      <x:c r="K39" s="58" t="str">
        <x:v>Not Reviewed</x:v>
      </x:c>
    </x:row>
    <x:row r="40" ht="32" customHeight="1">
      <x:c r="A40" s="57" t="n">
        <x:v>25</x:v>
      </x:c>
      <x:c r="B40" s="98" t="str">
        <x:v>Enterprise Event Mesh: Pub/Sub, Kafka &amp; Cross-Platform Integration</x:v>
      </x:c>
      <x:c r="C40" s="98" t="str">
        <x:v>P1</x:v>
      </x:c>
      <x:c r="D40" s="98" t="str">
        <x:v>Not Reviewed</x:v>
      </x:c>
      <x:c r="E40" s="98" t="str">
        <x:v>Not Reviewed</x:v>
      </x:c>
      <x:c r="F40" s="98" t="str">
        <x:v>Not Reviewed</x:v>
      </x:c>
      <x:c r="G40" s="98" t="str">
        <x:v>Not Reviewed</x:v>
      </x:c>
      <x:c r="H40" s="98" t="str">
        <x:v>Not Reviewed</x:v>
      </x:c>
      <x:c r="I40" s="98" t="str">
        <x:v>Not Reviewed</x:v>
      </x:c>
      <x:c r="J40" s="98" t="str">
        <x:v>Not Reviewed</x:v>
      </x:c>
      <x:c r="K40" s="58" t="str">
        <x:v>Not Reviewed</x:v>
      </x:c>
    </x:row>
    <x:row r="41" ht="32" customHeight="1">
      <x:c r="A41" s="57" t="n">
        <x:v>26</x:v>
      </x:c>
      <x:c r="B41" s="98" t="str">
        <x:v>Google Cloud Serverless Event-Driven Architecture</x:v>
      </x:c>
      <x:c r="C41" s="98" t="str">
        <x:v>P2</x:v>
      </x:c>
      <x:c r="D41" s="98" t="str">
        <x:v>Not Reviewed</x:v>
      </x:c>
      <x:c r="E41" s="98" t="str">
        <x:v>Not Reviewed</x:v>
      </x:c>
      <x:c r="F41" s="98" t="str">
        <x:v>Not Reviewed</x:v>
      </x:c>
      <x:c r="G41" s="98" t="str">
        <x:v>Not Reviewed</x:v>
      </x:c>
      <x:c r="H41" s="98" t="str">
        <x:v>Not Reviewed</x:v>
      </x:c>
      <x:c r="I41" s="98" t="str">
        <x:v>Not Reviewed</x:v>
      </x:c>
      <x:c r="J41" s="98" t="str">
        <x:v>Not Reviewed</x:v>
      </x:c>
      <x:c r="K41" s="58" t="str">
        <x:v>Not Reviewed</x:v>
      </x:c>
    </x:row>
    <x:row r="42" ht="32" customHeight="1">
      <x:c r="A42" s="57" t="n">
        <x:v>27</x:v>
      </x:c>
      <x:c r="B42" s="98" t="str">
        <x:v>Enterprise Multimodal Ingestion &amp; Content Understanding</x:v>
      </x:c>
      <x:c r="C42" s="98" t="str">
        <x:v>P1</x:v>
      </x:c>
      <x:c r="D42" s="98" t="str">
        <x:v>Not Reviewed</x:v>
      </x:c>
      <x:c r="E42" s="98" t="str">
        <x:v>Not Reviewed</x:v>
      </x:c>
      <x:c r="F42" s="98" t="str">
        <x:v>Not Reviewed</x:v>
      </x:c>
      <x:c r="G42" s="98" t="str">
        <x:v>Not Reviewed</x:v>
      </x:c>
      <x:c r="H42" s="98" t="str">
        <x:v>Not Reviewed</x:v>
      </x:c>
      <x:c r="I42" s="98" t="str">
        <x:v>Not Reviewed</x:v>
      </x:c>
      <x:c r="J42" s="98" t="str">
        <x:v>Not Reviewed</x:v>
      </x:c>
      <x:c r="K42" s="58" t="str">
        <x:v>Not Reviewed</x:v>
      </x:c>
    </x:row>
    <x:row r="43" ht="32" customHeight="1">
      <x:c r="A43" s="57" t="n">
        <x:v>28</x:v>
      </x:c>
      <x:c r="B43" s="98" t="str">
        <x:v>Real-Time Streaming Analytics Architecture</x:v>
      </x:c>
      <x:c r="C43" s="98" t="str">
        <x:v>P2</x:v>
      </x:c>
      <x:c r="D43" s="98" t="str">
        <x:v>Not Reviewed</x:v>
      </x:c>
      <x:c r="E43" s="98" t="str">
        <x:v>Not Reviewed</x:v>
      </x:c>
      <x:c r="F43" s="98" t="str">
        <x:v>Not Reviewed</x:v>
      </x:c>
      <x:c r="G43" s="98" t="str">
        <x:v>Not Reviewed</x:v>
      </x:c>
      <x:c r="H43" s="98" t="str">
        <x:v>Not Reviewed</x:v>
      </x:c>
      <x:c r="I43" s="98" t="str">
        <x:v>Not Reviewed</x:v>
      </x:c>
      <x:c r="J43" s="98" t="str">
        <x:v>Not Reviewed</x:v>
      </x:c>
      <x:c r="K43" s="58" t="str">
        <x:v>Not Reviewed</x:v>
      </x:c>
    </x:row>
    <x:row r="44" ht="32" customHeight="1">
      <x:c r="A44" s="57" t="n">
        <x:v>29</x:v>
      </x:c>
      <x:c r="B44" s="98" t="str">
        <x:v>6Rs Application Migration Disposition Matrix</x:v>
      </x:c>
      <x:c r="C44" s="98" t="str">
        <x:v>P2</x:v>
      </x:c>
      <x:c r="D44" s="98" t="str">
        <x:v>Not Reviewed</x:v>
      </x:c>
      <x:c r="E44" s="98" t="str">
        <x:v>Not Reviewed</x:v>
      </x:c>
      <x:c r="F44" s="98" t="str">
        <x:v>Not Reviewed</x:v>
      </x:c>
      <x:c r="G44" s="98" t="str">
        <x:v>Not Reviewed</x:v>
      </x:c>
      <x:c r="H44" s="98" t="str">
        <x:v>Not Reviewed</x:v>
      </x:c>
      <x:c r="I44" s="98" t="str">
        <x:v>Not Reviewed</x:v>
      </x:c>
      <x:c r="J44" s="98" t="str">
        <x:v>Not Reviewed</x:v>
      </x:c>
      <x:c r="K44" s="58" t="str">
        <x:v>Not Reviewed</x:v>
      </x:c>
    </x:row>
    <x:row r="45" ht="32" customHeight="1">
      <x:c r="A45" s="57" t="n">
        <x:v>30</x:v>
      </x:c>
      <x:c r="B45" s="98" t="str">
        <x:v>Enterprise SRE, Observability &amp; Reliability Architecture</x:v>
      </x:c>
      <x:c r="C45" s="98" t="str">
        <x:v>P0</x:v>
      </x:c>
      <x:c r="D45" s="98" t="str">
        <x:v>Not Reviewed</x:v>
      </x:c>
      <x:c r="E45" s="98" t="str">
        <x:v>Not Reviewed</x:v>
      </x:c>
      <x:c r="F45" s="98" t="str">
        <x:v>Not Reviewed</x:v>
      </x:c>
      <x:c r="G45" s="98" t="str">
        <x:v>Not Reviewed</x:v>
      </x:c>
      <x:c r="H45" s="98" t="str">
        <x:v>Not Reviewed</x:v>
      </x:c>
      <x:c r="I45" s="98" t="str">
        <x:v>Not Reviewed</x:v>
      </x:c>
      <x:c r="J45" s="98" t="str">
        <x:v>Not Reviewed</x:v>
      </x:c>
      <x:c r="K45" s="58" t="str">
        <x:v>Not Reviewed</x:v>
      </x:c>
    </x:row>
    <x:row r="46" ht="32" customHeight="1">
      <x:c r="A46" s="57" t="n">
        <x:v>31</x:v>
      </x:c>
      <x:c r="B46" s="98" t="str">
        <x:v>Go-Live Cutover &amp; War Room Runbook</x:v>
      </x:c>
      <x:c r="C46" s="98" t="str">
        <x:v>P2</x:v>
      </x:c>
      <x:c r="D46" s="98" t="str">
        <x:v>Not Reviewed</x:v>
      </x:c>
      <x:c r="E46" s="98" t="str">
        <x:v>Not Reviewed</x:v>
      </x:c>
      <x:c r="F46" s="98" t="str">
        <x:v>Not Reviewed</x:v>
      </x:c>
      <x:c r="G46" s="98" t="str">
        <x:v>Not Reviewed</x:v>
      </x:c>
      <x:c r="H46" s="98" t="str">
        <x:v>Not Reviewed</x:v>
      </x:c>
      <x:c r="I46" s="98" t="str">
        <x:v>Not Reviewed</x:v>
      </x:c>
      <x:c r="J46" s="98" t="str">
        <x:v>Not Reviewed</x:v>
      </x:c>
      <x:c r="K46" s="58" t="str">
        <x:v>Not Reviewed</x:v>
      </x:c>
    </x:row>
    <x:row r="47" ht="32" customHeight="1">
      <x:c r="A47" s="57" t="n">
        <x:v>32</x:v>
      </x:c>
      <x:c r="B47" s="98" t="str">
        <x:v>Incident Triage, Escalation &amp; SRE Response Swimlane</x:v>
      </x:c>
      <x:c r="C47" s="98" t="str">
        <x:v>P1</x:v>
      </x:c>
      <x:c r="D47" s="98" t="str">
        <x:v>Not Reviewed</x:v>
      </x:c>
      <x:c r="E47" s="98" t="str">
        <x:v>Not Reviewed</x:v>
      </x:c>
      <x:c r="F47" s="98" t="str">
        <x:v>Not Reviewed</x:v>
      </x:c>
      <x:c r="G47" s="98" t="str">
        <x:v>Not Reviewed</x:v>
      </x:c>
      <x:c r="H47" s="98" t="str">
        <x:v>Not Reviewed</x:v>
      </x:c>
      <x:c r="I47" s="98" t="str">
        <x:v>Not Reviewed</x:v>
      </x:c>
      <x:c r="J47" s="98" t="str">
        <x:v>Not Reviewed</x:v>
      </x:c>
      <x:c r="K47" s="58" t="str">
        <x:v>Not Reviewed</x:v>
      </x:c>
    </x:row>
    <x:row r="48" ht="32" customHeight="1">
      <x:c r="A48" s="57" t="n">
        <x:v>33</x:v>
      </x:c>
      <x:c r="B48" s="98" t="str">
        <x:v>LLM Capacity, Quota &amp; Provisioned Throughput Architecture</x:v>
      </x:c>
      <x:c r="C48" s="98" t="str">
        <x:v>P0</x:v>
      </x:c>
      <x:c r="D48" s="98" t="str">
        <x:v>Not Reviewed</x:v>
      </x:c>
      <x:c r="E48" s="98" t="str">
        <x:v>Not Reviewed</x:v>
      </x:c>
      <x:c r="F48" s="98" t="str">
        <x:v>Not Reviewed</x:v>
      </x:c>
      <x:c r="G48" s="98" t="str">
        <x:v>Not Reviewed</x:v>
      </x:c>
      <x:c r="H48" s="98" t="str">
        <x:v>Not Reviewed</x:v>
      </x:c>
      <x:c r="I48" s="98" t="str">
        <x:v>Not Reviewed</x:v>
      </x:c>
      <x:c r="J48" s="98" t="str">
        <x:v>Not Reviewed</x:v>
      </x:c>
      <x:c r="K48" s="58" t="str">
        <x:v>Not Reviewed</x:v>
      </x:c>
    </x:row>
    <x:row r="49" ht="32" customHeight="1">
      <x:c r="A49" s="57" t="n">
        <x:v>34</x:v>
      </x:c>
      <x:c r="B49" s="98" t="str">
        <x:v>Enterprise AI Center of Excellence Operating Model</x:v>
      </x:c>
      <x:c r="C49" s="98" t="str">
        <x:v>P1</x:v>
      </x:c>
      <x:c r="D49" s="98" t="str">
        <x:v>Not Reviewed</x:v>
      </x:c>
      <x:c r="E49" s="98" t="str">
        <x:v>Not Reviewed</x:v>
      </x:c>
      <x:c r="F49" s="98" t="str">
        <x:v>Not Reviewed</x:v>
      </x:c>
      <x:c r="G49" s="98" t="str">
        <x:v>Not Reviewed</x:v>
      </x:c>
      <x:c r="H49" s="98" t="str">
        <x:v>Not Reviewed</x:v>
      </x:c>
      <x:c r="I49" s="98" t="str">
        <x:v>Not Reviewed</x:v>
      </x:c>
      <x:c r="J49" s="98" t="str">
        <x:v>Not Reviewed</x:v>
      </x:c>
      <x:c r="K49" s="58" t="str">
        <x:v>Not Reviewed</x:v>
      </x:c>
    </x:row>
    <x:row r="50" ht="32" customHeight="1">
      <x:c r="A50" s="57" t="n">
        <x:v>35</x:v>
      </x:c>
      <x:c r="B50" s="98" t="str">
        <x:v>LLMOps Prompt, Evaluation &amp; Release Lifecycle</x:v>
      </x:c>
      <x:c r="C50" s="98" t="str">
        <x:v>P1</x:v>
      </x:c>
      <x:c r="D50" s="98" t="str">
        <x:v>Not Reviewed</x:v>
      </x:c>
      <x:c r="E50" s="98" t="str">
        <x:v>Not Reviewed</x:v>
      </x:c>
      <x:c r="F50" s="98" t="str">
        <x:v>Not Reviewed</x:v>
      </x:c>
      <x:c r="G50" s="98" t="str">
        <x:v>Not Reviewed</x:v>
      </x:c>
      <x:c r="H50" s="98" t="str">
        <x:v>Not Reviewed</x:v>
      </x:c>
      <x:c r="I50" s="98" t="str">
        <x:v>Not Reviewed</x:v>
      </x:c>
      <x:c r="J50" s="98" t="str">
        <x:v>Not Reviewed</x:v>
      </x:c>
      <x:c r="K50" s="58" t="str">
        <x:v>Not Reviewed</x:v>
      </x:c>
    </x:row>
    <x:row r="51" ht="32" customHeight="1">
      <x:c r="A51" s="57" t="n">
        <x:v>36</x:v>
      </x:c>
      <x:c r="B51" s="98" t="str">
        <x:v>DataOps, Data Quality &amp; Anomaly Detection Architecture</x:v>
      </x:c>
      <x:c r="C51" s="98" t="str">
        <x:v>P1</x:v>
      </x:c>
      <x:c r="D51" s="98" t="str">
        <x:v>Not Reviewed</x:v>
      </x:c>
      <x:c r="E51" s="98" t="str">
        <x:v>Not Reviewed</x:v>
      </x:c>
      <x:c r="F51" s="98" t="str">
        <x:v>Not Reviewed</x:v>
      </x:c>
      <x:c r="G51" s="98" t="str">
        <x:v>Not Reviewed</x:v>
      </x:c>
      <x:c r="H51" s="98" t="str">
        <x:v>Not Reviewed</x:v>
      </x:c>
      <x:c r="I51" s="98" t="str">
        <x:v>Not Reviewed</x:v>
      </x:c>
      <x:c r="J51" s="98" t="str">
        <x:v>Not Reviewed</x:v>
      </x:c>
      <x:c r="K51" s="58" t="str">
        <x:v>Not Reviewed</x:v>
      </x:c>
    </x:row>
    <x:row r="52" ht="32" customHeight="1">
      <x:c r="A52" s="57" t="n">
        <x:v>37</x:v>
      </x:c>
      <x:c r="B52" s="98" t="str">
        <x:v>Multi-Region Active-Passive Disaster Recovery</x:v>
      </x:c>
      <x:c r="C52" s="98" t="str">
        <x:v>P0</x:v>
      </x:c>
      <x:c r="D52" s="98" t="str">
        <x:v>Not Reviewed</x:v>
      </x:c>
      <x:c r="E52" s="98" t="str">
        <x:v>Not Reviewed</x:v>
      </x:c>
      <x:c r="F52" s="98" t="str">
        <x:v>Not Reviewed</x:v>
      </x:c>
      <x:c r="G52" s="98" t="str">
        <x:v>Not Reviewed</x:v>
      </x:c>
      <x:c r="H52" s="98" t="str">
        <x:v>Not Reviewed</x:v>
      </x:c>
      <x:c r="I52" s="98" t="str">
        <x:v>Not Reviewed</x:v>
      </x:c>
      <x:c r="J52" s="98" t="str">
        <x:v>Not Reviewed</x:v>
      </x:c>
      <x:c r="K52" s="58" t="str">
        <x:v>Not Reviewed</x:v>
      </x:c>
    </x:row>
    <x:row r="53" ht="32" customHeight="1">
      <x:c r="A53" s="57" t="n">
        <x:v>38</x:v>
      </x:c>
      <x:c r="B53" s="98" t="str">
        <x:v>AI-Assisted Personalized Financial Advising Architecture</x:v>
      </x:c>
      <x:c r="C53" s="98" t="str">
        <x:v>P1</x:v>
      </x:c>
      <x:c r="D53" s="98" t="str">
        <x:v>Not Reviewed</x:v>
      </x:c>
      <x:c r="E53" s="98" t="str">
        <x:v>Not Reviewed</x:v>
      </x:c>
      <x:c r="F53" s="98" t="str">
        <x:v>Not Reviewed</x:v>
      </x:c>
      <x:c r="G53" s="98" t="str">
        <x:v>Not Reviewed</x:v>
      </x:c>
      <x:c r="H53" s="98" t="str">
        <x:v>Not Reviewed</x:v>
      </x:c>
      <x:c r="I53" s="98" t="str">
        <x:v>Not Reviewed</x:v>
      </x:c>
      <x:c r="J53" s="98" t="str">
        <x:v>Not Reviewed</x:v>
      </x:c>
      <x:c r="K53" s="58" t="str">
        <x:v>Not Reviewed</x:v>
      </x:c>
    </x:row>
    <x:row r="54" ht="32" customHeight="1">
      <x:c r="A54" s="57" t="n">
        <x:v>39</x:v>
      </x:c>
      <x:c r="B54" s="98" t="str">
        <x:v>Equipment Predictive Maintenance &amp; Closed-Loop Service Architecture</x:v>
      </x:c>
      <x:c r="C54" s="98" t="str">
        <x:v>P0</x:v>
      </x:c>
      <x:c r="D54" s="98" t="str">
        <x:v>Not Reviewed</x:v>
      </x:c>
      <x:c r="E54" s="98" t="str">
        <x:v>Not Reviewed</x:v>
      </x:c>
      <x:c r="F54" s="98" t="str">
        <x:v>Not Reviewed</x:v>
      </x:c>
      <x:c r="G54" s="98" t="str">
        <x:v>Not Reviewed</x:v>
      </x:c>
      <x:c r="H54" s="98" t="str">
        <x:v>Not Reviewed</x:v>
      </x:c>
      <x:c r="I54" s="98" t="str">
        <x:v>Not Reviewed</x:v>
      </x:c>
      <x:c r="J54" s="98" t="str">
        <x:v>Not Reviewed</x:v>
      </x:c>
      <x:c r="K54" s="58" t="str">
        <x:v>Not Reviewed</x:v>
      </x:c>
    </x:row>
    <x:row r="55" ht="32" customHeight="1">
      <x:c r="A55" s="57" t="n">
        <x:v>40</x:v>
      </x:c>
      <x:c r="B55" s="98" t="str">
        <x:v>Pharma Genomics &amp; AI-Assisted Drug Discovery Architecture</x:v>
      </x:c>
      <x:c r="C55" s="98" t="str">
        <x:v>P1</x:v>
      </x:c>
      <x:c r="D55" s="98" t="str">
        <x:v>Not Reviewed</x:v>
      </x:c>
      <x:c r="E55" s="98" t="str">
        <x:v>Not Reviewed</x:v>
      </x:c>
      <x:c r="F55" s="98" t="str">
        <x:v>Not Reviewed</x:v>
      </x:c>
      <x:c r="G55" s="98" t="str">
        <x:v>Not Reviewed</x:v>
      </x:c>
      <x:c r="H55" s="98" t="str">
        <x:v>Not Reviewed</x:v>
      </x:c>
      <x:c r="I55" s="98" t="str">
        <x:v>Not Reviewed</x:v>
      </x:c>
      <x:c r="J55" s="98" t="str">
        <x:v>Not Reviewed</x:v>
      </x:c>
      <x:c r="K55" s="58" t="str">
        <x:v>Not Reviewed</x:v>
      </x:c>
    </x:row>
    <x:row r="56" ht="32" customHeight="1">
      <x:c r="A56" s="57" t="n">
        <x:v>41</x:v>
      </x:c>
      <x:c r="B56" s="98" t="str">
        <x:v>Omnichannel Intelligent Commerce &amp; Retail AI Architecture</x:v>
      </x:c>
      <x:c r="C56" s="98" t="str">
        <x:v>P2</x:v>
      </x:c>
      <x:c r="D56" s="98" t="str">
        <x:v>Not Reviewed</x:v>
      </x:c>
      <x:c r="E56" s="98" t="str">
        <x:v>Not Reviewed</x:v>
      </x:c>
      <x:c r="F56" s="98" t="str">
        <x:v>Not Reviewed</x:v>
      </x:c>
      <x:c r="G56" s="98" t="str">
        <x:v>Not Reviewed</x:v>
      </x:c>
      <x:c r="H56" s="98" t="str">
        <x:v>Not Reviewed</x:v>
      </x:c>
      <x:c r="I56" s="98" t="str">
        <x:v>Not Reviewed</x:v>
      </x:c>
      <x:c r="J56" s="98" t="str">
        <x:v>Not Reviewed</x:v>
      </x:c>
      <x:c r="K56" s="58" t="str">
        <x:v>Not Reviewed</x:v>
      </x:c>
    </x:row>
    <x:row r="57" ht="32" customHeight="1">
      <x:c r="A57" s="57" t="n">
        <x:v>42</x:v>
      </x:c>
      <x:c r="B57" s="98" t="str">
        <x:v>Smart Factory Digital Twin &amp; Edge-to-Cloud Operations Platform</x:v>
      </x:c>
      <x:c r="C57" s="98" t="str">
        <x:v>P0</x:v>
      </x:c>
      <x:c r="D57" s="98" t="str">
        <x:v>Not Reviewed</x:v>
      </x:c>
      <x:c r="E57" s="98" t="str">
        <x:v>Not Reviewed</x:v>
      </x:c>
      <x:c r="F57" s="98" t="str">
        <x:v>Not Reviewed</x:v>
      </x:c>
      <x:c r="G57" s="98" t="str">
        <x:v>Not Reviewed</x:v>
      </x:c>
      <x:c r="H57" s="98" t="str">
        <x:v>Not Reviewed</x:v>
      </x:c>
      <x:c r="I57" s="98" t="str">
        <x:v>Not Reviewed</x:v>
      </x:c>
      <x:c r="J57" s="98" t="str">
        <x:v>Not Reviewed</x:v>
      </x:c>
      <x:c r="K57" s="58" t="str">
        <x:v>Not Reviewed</x:v>
      </x:c>
    </x:row>
    <x:row r="58" ht="32" customHeight="1">
      <x:c r="A58" s="57" t="n">
        <x:v>43</x:v>
      </x:c>
      <x:c r="B58" s="98" t="str">
        <x:v>Workforce AI &amp; People Intelligence Platform</x:v>
      </x:c>
      <x:c r="C58" s="98" t="str">
        <x:v>P1</x:v>
      </x:c>
      <x:c r="D58" s="98" t="str">
        <x:v>Not Reviewed</x:v>
      </x:c>
      <x:c r="E58" s="98" t="str">
        <x:v>Not Reviewed</x:v>
      </x:c>
      <x:c r="F58" s="98" t="str">
        <x:v>Not Reviewed</x:v>
      </x:c>
      <x:c r="G58" s="98" t="str">
        <x:v>Not Reviewed</x:v>
      </x:c>
      <x:c r="H58" s="98" t="str">
        <x:v>Not Reviewed</x:v>
      </x:c>
      <x:c r="I58" s="98" t="str">
        <x:v>Not Reviewed</x:v>
      </x:c>
      <x:c r="J58" s="98" t="str">
        <x:v>Not Reviewed</x:v>
      </x:c>
      <x:c r="K58" s="58" t="str">
        <x:v>Not Reviewed</x:v>
      </x:c>
    </x:row>
    <x:row r="59" ht="32" customHeight="1">
      <x:c r="A59" s="57" t="n">
        <x:v>44</x:v>
      </x:c>
      <x:c r="B59" s="98" t="str">
        <x:v>Healthcare Interoperability, FHIR/HL7 &amp; Clinical AI Platform</x:v>
      </x:c>
      <x:c r="C59" s="98" t="str">
        <x:v>P0</x:v>
      </x:c>
      <x:c r="D59" s="98" t="str">
        <x:v>Not Reviewed</x:v>
      </x:c>
      <x:c r="E59" s="98" t="str">
        <x:v>Not Reviewed</x:v>
      </x:c>
      <x:c r="F59" s="98" t="str">
        <x:v>Not Reviewed</x:v>
      </x:c>
      <x:c r="G59" s="98" t="str">
        <x:v>Not Reviewed</x:v>
      </x:c>
      <x:c r="H59" s="98" t="str">
        <x:v>Not Reviewed</x:v>
      </x:c>
      <x:c r="I59" s="98" t="str">
        <x:v>Not Reviewed</x:v>
      </x:c>
      <x:c r="J59" s="98" t="str">
        <x:v>Not Reviewed</x:v>
      </x:c>
      <x:c r="K59" s="58" t="str">
        <x:v>Not Reviewed</x:v>
      </x:c>
    </x:row>
    <x:row r="60" ht="32" customHeight="1">
      <x:c r="A60" s="57" t="n">
        <x:v>45</x:v>
      </x:c>
      <x:c r="B60" s="98" t="str">
        <x:v>C4 System Context &amp; Container Model</x:v>
      </x:c>
      <x:c r="C60" s="98" t="str">
        <x:v>P2</x:v>
      </x:c>
      <x:c r="D60" s="98" t="str">
        <x:v>Not Reviewed</x:v>
      </x:c>
      <x:c r="E60" s="98" t="str">
        <x:v>Not Reviewed</x:v>
      </x:c>
      <x:c r="F60" s="98" t="str">
        <x:v>Not Reviewed</x:v>
      </x:c>
      <x:c r="G60" s="98" t="str">
        <x:v>Not Reviewed</x:v>
      </x:c>
      <x:c r="H60" s="98" t="str">
        <x:v>Not Reviewed</x:v>
      </x:c>
      <x:c r="I60" s="98" t="str">
        <x:v>Not Reviewed</x:v>
      </x:c>
      <x:c r="J60" s="98" t="str">
        <x:v>Not Reviewed</x:v>
      </x:c>
      <x:c r="K60" s="58" t="str">
        <x:v>Not Reviewed</x:v>
      </x:c>
    </x:row>
    <x:row r="61" ht="32" customHeight="1">
      <x:c r="A61" s="57" t="n">
        <x:v>46</x:v>
      </x:c>
      <x:c r="B61" s="98" t="str">
        <x:v>C4 Level 3 Component &amp; Microservice LLD</x:v>
      </x:c>
      <x:c r="C61" s="98" t="str">
        <x:v>P1</x:v>
      </x:c>
      <x:c r="D61" s="98" t="str">
        <x:v>Not Reviewed</x:v>
      </x:c>
      <x:c r="E61" s="98" t="str">
        <x:v>Not Reviewed</x:v>
      </x:c>
      <x:c r="F61" s="98" t="str">
        <x:v>Not Reviewed</x:v>
      </x:c>
      <x:c r="G61" s="98" t="str">
        <x:v>Not Reviewed</x:v>
      </x:c>
      <x:c r="H61" s="98" t="str">
        <x:v>Not Reviewed</x:v>
      </x:c>
      <x:c r="I61" s="98" t="str">
        <x:v>Not Reviewed</x:v>
      </x:c>
      <x:c r="J61" s="98" t="str">
        <x:v>Not Reviewed</x:v>
      </x:c>
      <x:c r="K61" s="58" t="str">
        <x:v>Not Reviewed</x:v>
      </x:c>
    </x:row>
    <x:row r="62" ht="32" customHeight="1">
      <x:c r="A62" s="57" t="n">
        <x:v>47</x:v>
      </x:c>
      <x:c r="B62" s="98" t="str">
        <x:v>BPMN 2.0 Business Process &amp; Autonomous Workflow</x:v>
      </x:c>
      <x:c r="C62" s="98" t="str">
        <x:v>P2</x:v>
      </x:c>
      <x:c r="D62" s="98" t="str">
        <x:v>Not Reviewed</x:v>
      </x:c>
      <x:c r="E62" s="98" t="str">
        <x:v>Not Reviewed</x:v>
      </x:c>
      <x:c r="F62" s="98" t="str">
        <x:v>Not Reviewed</x:v>
      </x:c>
      <x:c r="G62" s="98" t="str">
        <x:v>Not Reviewed</x:v>
      </x:c>
      <x:c r="H62" s="98" t="str">
        <x:v>Not Reviewed</x:v>
      </x:c>
      <x:c r="I62" s="98" t="str">
        <x:v>Not Reviewed</x:v>
      </x:c>
      <x:c r="J62" s="98" t="str">
        <x:v>Not Reviewed</x:v>
      </x:c>
      <x:c r="K62" s="58" t="str">
        <x:v>Not Reviewed</x:v>
      </x:c>
    </x:row>
    <x:row r="63" ht="32" customHeight="1">
      <x:c r="A63" s="57" t="n">
        <x:v>48</x:v>
      </x:c>
      <x:c r="B63" s="98" t="str">
        <x:v>STRIDE Threat Model, Trust Boundaries &amp; Mitigation Map</x:v>
      </x:c>
      <x:c r="C63" s="98" t="str">
        <x:v>P1</x:v>
      </x:c>
      <x:c r="D63" s="98" t="str">
        <x:v>Not Reviewed</x:v>
      </x:c>
      <x:c r="E63" s="98" t="str">
        <x:v>Not Reviewed</x:v>
      </x:c>
      <x:c r="F63" s="98" t="str">
        <x:v>Not Reviewed</x:v>
      </x:c>
      <x:c r="G63" s="98" t="str">
        <x:v>Not Reviewed</x:v>
      </x:c>
      <x:c r="H63" s="98" t="str">
        <x:v>Not Reviewed</x:v>
      </x:c>
      <x:c r="I63" s="98" t="str">
        <x:v>Not Reviewed</x:v>
      </x:c>
      <x:c r="J63" s="98" t="str">
        <x:v>Not Reviewed</x:v>
      </x:c>
      <x:c r="K63" s="58" t="str">
        <x:v>Not Reviewed</x:v>
      </x:c>
    </x:row>
    <x:row r="64" ht="32" customHeight="1">
      <x:c r="A64" s="57" t="n">
        <x:v>49</x:v>
      </x:c>
      <x:c r="B64" s="98" t="str">
        <x:v>Column-Level Data Lineage, Transformations &amp; Provenance</x:v>
      </x:c>
      <x:c r="C64" s="98" t="str">
        <x:v>P1</x:v>
      </x:c>
      <x:c r="D64" s="98" t="str">
        <x:v>Not Reviewed</x:v>
      </x:c>
      <x:c r="E64" s="98" t="str">
        <x:v>Not Reviewed</x:v>
      </x:c>
      <x:c r="F64" s="98" t="str">
        <x:v>Not Reviewed</x:v>
      </x:c>
      <x:c r="G64" s="98" t="str">
        <x:v>Not Reviewed</x:v>
      </x:c>
      <x:c r="H64" s="98" t="str">
        <x:v>Not Reviewed</x:v>
      </x:c>
      <x:c r="I64" s="98" t="str">
        <x:v>Not Reviewed</x:v>
      </x:c>
      <x:c r="J64" s="98" t="str">
        <x:v>Not Reviewed</x:v>
      </x:c>
      <x:c r="K64" s="58" t="str">
        <x:v>Not Reviewed</x:v>
      </x:c>
    </x:row>
    <x:row r="65" ht="32" customHeight="1">
      <x:c r="A65" s="57" t="n">
        <x:v>50</x:v>
      </x:c>
      <x:c r="B65" s="98" t="str">
        <x:v>Enterprise MCP Gateway on Google Cloud</x:v>
      </x:c>
      <x:c r="C65" s="98" t="str">
        <x:v>P0</x:v>
      </x:c>
      <x:c r="D65" s="98" t="str">
        <x:v>Not Reviewed</x:v>
      </x:c>
      <x:c r="E65" s="98" t="str">
        <x:v>Not Reviewed</x:v>
      </x:c>
      <x:c r="F65" s="98" t="str">
        <x:v>Not Reviewed</x:v>
      </x:c>
      <x:c r="G65" s="98" t="str">
        <x:v>Not Reviewed</x:v>
      </x:c>
      <x:c r="H65" s="98" t="str">
        <x:v>Not Reviewed</x:v>
      </x:c>
      <x:c r="I65" s="98" t="str">
        <x:v>Not Reviewed</x:v>
      </x:c>
      <x:c r="J65" s="98" t="str">
        <x:v>Not Reviewed</x:v>
      </x:c>
      <x:c r="K65" s="58" t="str">
        <x:v>Not Reviewed</x:v>
      </x:c>
    </x:row>
    <x:row r="66" ht="32" customHeight="1">
      <x:c r="A66" s="57" t="n">
        <x:v>51</x:v>
      </x:c>
      <x:c r="B66" s="98" t="str">
        <x:v>Enterprise API Management &amp; Integration Architecture</x:v>
      </x:c>
      <x:c r="C66" s="98" t="str">
        <x:v>P0</x:v>
      </x:c>
      <x:c r="D66" s="98" t="str">
        <x:v>Not Reviewed</x:v>
      </x:c>
      <x:c r="E66" s="98" t="str">
        <x:v>Not Reviewed</x:v>
      </x:c>
      <x:c r="F66" s="98" t="str">
        <x:v>Not Reviewed</x:v>
      </x:c>
      <x:c r="G66" s="98" t="str">
        <x:v>Not Reviewed</x:v>
      </x:c>
      <x:c r="H66" s="98" t="str">
        <x:v>Not Reviewed</x:v>
      </x:c>
      <x:c r="I66" s="98" t="str">
        <x:v>Not Reviewed</x:v>
      </x:c>
      <x:c r="J66" s="98" t="str">
        <x:v>Not Reviewed</x:v>
      </x:c>
      <x:c r="K66" s="58" t="str">
        <x:v>Proposed</x:v>
      </x:c>
    </x:row>
    <x:row r="67" ht="32" customHeight="1">
      <x:c r="A67" s="57" t="n">
        <x:v>52</x:v>
      </x:c>
      <x:c r="B67" s="98" t="str">
        <x:v>GKE / Kubernetes Enterprise Platform Architecture</x:v>
      </x:c>
      <x:c r="C67" s="98" t="str">
        <x:v>P0</x:v>
      </x:c>
      <x:c r="D67" s="98" t="str">
        <x:v>Not Reviewed</x:v>
      </x:c>
      <x:c r="E67" s="98" t="str">
        <x:v>Not Reviewed</x:v>
      </x:c>
      <x:c r="F67" s="98" t="str">
        <x:v>Not Reviewed</x:v>
      </x:c>
      <x:c r="G67" s="98" t="str">
        <x:v>Not Reviewed</x:v>
      </x:c>
      <x:c r="H67" s="98" t="str">
        <x:v>Not Reviewed</x:v>
      </x:c>
      <x:c r="I67" s="98" t="str">
        <x:v>Not Reviewed</x:v>
      </x:c>
      <x:c r="J67" s="98" t="str">
        <x:v>Not Reviewed</x:v>
      </x:c>
      <x:c r="K67" s="58" t="str">
        <x:v>Proposed</x:v>
      </x:c>
    </x:row>
    <x:row r="68" ht="32" customHeight="1">
      <x:c r="A68" s="57" t="n">
        <x:v>53</x:v>
      </x:c>
      <x:c r="B68" s="98" t="str">
        <x:v>Highly Available Multi-Region Application Architecture</x:v>
      </x:c>
      <x:c r="C68" s="98" t="str">
        <x:v>P0</x:v>
      </x:c>
      <x:c r="D68" s="98" t="str">
        <x:v>Not Reviewed</x:v>
      </x:c>
      <x:c r="E68" s="98" t="str">
        <x:v>Not Reviewed</x:v>
      </x:c>
      <x:c r="F68" s="98" t="str">
        <x:v>Not Reviewed</x:v>
      </x:c>
      <x:c r="G68" s="98" t="str">
        <x:v>Not Reviewed</x:v>
      </x:c>
      <x:c r="H68" s="98" t="str">
        <x:v>Not Reviewed</x:v>
      </x:c>
      <x:c r="I68" s="98" t="str">
        <x:v>Not Reviewed</x:v>
      </x:c>
      <x:c r="J68" s="98" t="str">
        <x:v>Not Reviewed</x:v>
      </x:c>
      <x:c r="K68" s="58" t="str">
        <x:v>Proposed</x:v>
      </x:c>
    </x:row>
    <x:row r="69" ht="32" customHeight="1">
      <x:c r="A69" s="57" t="n">
        <x:v>54</x:v>
      </x:c>
      <x:c r="B69" s="98" t="str">
        <x:v>Enterprise ETL/ELT &amp; CDC Data Pipeline Architecture</x:v>
      </x:c>
      <x:c r="C69" s="98" t="str">
        <x:v>P0</x:v>
      </x:c>
      <x:c r="D69" s="98" t="str">
        <x:v>Not Reviewed</x:v>
      </x:c>
      <x:c r="E69" s="98" t="str">
        <x:v>Not Reviewed</x:v>
      </x:c>
      <x:c r="F69" s="98" t="str">
        <x:v>Not Reviewed</x:v>
      </x:c>
      <x:c r="G69" s="98" t="str">
        <x:v>Not Reviewed</x:v>
      </x:c>
      <x:c r="H69" s="98" t="str">
        <x:v>Not Reviewed</x:v>
      </x:c>
      <x:c r="I69" s="98" t="str">
        <x:v>Not Reviewed</x:v>
      </x:c>
      <x:c r="J69" s="98" t="str">
        <x:v>Not Reviewed</x:v>
      </x:c>
      <x:c r="K69" s="58" t="str">
        <x:v>Proposed</x:v>
      </x:c>
    </x:row>
    <x:row r="70" ht="32" customHeight="1">
      <x:c r="A70" s="57" t="n">
        <x:v>55</x:v>
      </x:c>
      <x:c r="B70" s="98" t="str">
        <x:v>Workload Identity &amp; Service-to-Service Authorization Architecture</x:v>
      </x:c>
      <x:c r="C70" s="98" t="str">
        <x:v>P1</x:v>
      </x:c>
      <x:c r="D70" s="98" t="str">
        <x:v>Not Reviewed</x:v>
      </x:c>
      <x:c r="E70" s="98" t="str">
        <x:v>Not Reviewed</x:v>
      </x:c>
      <x:c r="F70" s="98" t="str">
        <x:v>Not Reviewed</x:v>
      </x:c>
      <x:c r="G70" s="98" t="str">
        <x:v>Not Reviewed</x:v>
      </x:c>
      <x:c r="H70" s="98" t="str">
        <x:v>Not Reviewed</x:v>
      </x:c>
      <x:c r="I70" s="98" t="str">
        <x:v>Not Reviewed</x:v>
      </x:c>
      <x:c r="J70" s="98" t="str">
        <x:v>Not Reviewed</x:v>
      </x:c>
      <x:c r="K70" s="58" t="str">
        <x:v>Proposed</x:v>
      </x:c>
    </x:row>
    <x:row r="71" ht="32" customHeight="1">
      <x:c r="A71" s="57" t="n">
        <x:v>56</x:v>
      </x:c>
      <x:c r="B71" s="98" t="str">
        <x:v>Private Ingress, Egress &amp; Service Connectivity Architecture</x:v>
      </x:c>
      <x:c r="C71" s="98" t="str">
        <x:v>P1</x:v>
      </x:c>
      <x:c r="D71" s="98" t="str">
        <x:v>Not Reviewed</x:v>
      </x:c>
      <x:c r="E71" s="98" t="str">
        <x:v>Not Reviewed</x:v>
      </x:c>
      <x:c r="F71" s="98" t="str">
        <x:v>Not Reviewed</x:v>
      </x:c>
      <x:c r="G71" s="98" t="str">
        <x:v>Not Reviewed</x:v>
      </x:c>
      <x:c r="H71" s="98" t="str">
        <x:v>Not Reviewed</x:v>
      </x:c>
      <x:c r="I71" s="98" t="str">
        <x:v>Not Reviewed</x:v>
      </x:c>
      <x:c r="J71" s="98" t="str">
        <x:v>Not Reviewed</x:v>
      </x:c>
      <x:c r="K71" s="58" t="str">
        <x:v>Proposed</x:v>
      </x:c>
    </x:row>
    <x:row r="72" ht="32" customHeight="1">
      <x:c r="A72" s="57" t="n">
        <x:v>57</x:v>
      </x:c>
      <x:c r="B72" s="98" t="str">
        <x:v>Enterprise MLOps Lifecycle Architecture</x:v>
      </x:c>
      <x:c r="C72" s="98" t="str">
        <x:v>P1</x:v>
      </x:c>
      <x:c r="D72" s="98" t="str">
        <x:v>Not Reviewed</x:v>
      </x:c>
      <x:c r="E72" s="98" t="str">
        <x:v>Not Reviewed</x:v>
      </x:c>
      <x:c r="F72" s="98" t="str">
        <x:v>Not Reviewed</x:v>
      </x:c>
      <x:c r="G72" s="98" t="str">
        <x:v>Not Reviewed</x:v>
      </x:c>
      <x:c r="H72" s="98" t="str">
        <x:v>Not Reviewed</x:v>
      </x:c>
      <x:c r="I72" s="98" t="str">
        <x:v>Not Reviewed</x:v>
      </x:c>
      <x:c r="J72" s="98" t="str">
        <x:v>Not Reviewed</x:v>
      </x:c>
      <x:c r="K72" s="58" t="str">
        <x:v>Proposed</x:v>
      </x:c>
    </x:row>
    <x:row r="73" ht="32" customHeight="1">
      <x:c r="A73" s="57" t="n">
        <x:v>58</x:v>
      </x:c>
      <x:c r="B73" s="98" t="str">
        <x:v>GraphRAG / Knowledge Graph Architecture</x:v>
      </x:c>
      <x:c r="C73" s="98" t="str">
        <x:v>P1</x:v>
      </x:c>
      <x:c r="D73" s="98" t="str">
        <x:v>Not Reviewed</x:v>
      </x:c>
      <x:c r="E73" s="98" t="str">
        <x:v>Not Reviewed</x:v>
      </x:c>
      <x:c r="F73" s="98" t="str">
        <x:v>Not Reviewed</x:v>
      </x:c>
      <x:c r="G73" s="98" t="str">
        <x:v>Not Reviewed</x:v>
      </x:c>
      <x:c r="H73" s="98" t="str">
        <x:v>Not Reviewed</x:v>
      </x:c>
      <x:c r="I73" s="98" t="str">
        <x:v>Not Reviewed</x:v>
      </x:c>
      <x:c r="J73" s="98" t="str">
        <x:v>Not Reviewed</x:v>
      </x:c>
      <x:c r="K73" s="58" t="str">
        <x:v>Proposed</x:v>
      </x:c>
    </x:row>
    <x:row r="74" ht="32" customHeight="1">
      <x:c r="A74" s="57" t="n">
        <x:v>59</x:v>
      </x:c>
      <x:c r="B74" s="98" t="str">
        <x:v>SaaS Multi-Tenant Application Architecture</x:v>
      </x:c>
      <x:c r="C74" s="98" t="str">
        <x:v>P2</x:v>
      </x:c>
      <x:c r="D74" s="98" t="str">
        <x:v>Not Reviewed</x:v>
      </x:c>
      <x:c r="E74" s="98" t="str">
        <x:v>Not Reviewed</x:v>
      </x:c>
      <x:c r="F74" s="98" t="str">
        <x:v>Not Reviewed</x:v>
      </x:c>
      <x:c r="G74" s="98" t="str">
        <x:v>Not Reviewed</x:v>
      </x:c>
      <x:c r="H74" s="98" t="str">
        <x:v>Not Reviewed</x:v>
      </x:c>
      <x:c r="I74" s="98" t="str">
        <x:v>Not Reviewed</x:v>
      </x:c>
      <x:c r="J74" s="98" t="str">
        <x:v>Not Reviewed</x:v>
      </x:c>
      <x:c r="K74" s="58" t="str">
        <x:v>Proposed</x:v>
      </x:c>
    </x:row>
    <x:row r="75" ht="32" customHeight="1">
      <x:c r="A75" s="59" t="n">
        <x:v>60</x:v>
      </x:c>
      <x:c r="B75" s="99" t="str">
        <x:v>Intelligent Document Processing Platform</x:v>
      </x:c>
      <x:c r="C75" s="99" t="str">
        <x:v>P2</x:v>
      </x:c>
      <x:c r="D75" s="99" t="str">
        <x:v>Not Reviewed</x:v>
      </x:c>
      <x:c r="E75" s="99" t="str">
        <x:v>Not Reviewed</x:v>
      </x:c>
      <x:c r="F75" s="99" t="str">
        <x:v>Not Reviewed</x:v>
      </x:c>
      <x:c r="G75" s="99" t="str">
        <x:v>Not Reviewed</x:v>
      </x:c>
      <x:c r="H75" s="99" t="str">
        <x:v>Not Reviewed</x:v>
      </x:c>
      <x:c r="I75" s="99" t="str">
        <x:v>Not Reviewed</x:v>
      </x:c>
      <x:c r="J75" s="99" t="str">
        <x:v>Not Reviewed</x:v>
      </x:c>
      <x:c r="K75" s="60" t="str">
        <x:v>Proposed</x:v>
      </x:c>
    </x:row>
  </x:sheetData>
  <x:mergeCells>
    <x:mergeCell ref="A1:K1"/>
    <x:mergeCell ref="A2:K2"/>
    <x:mergeCell ref="A3:K3"/>
    <x:mergeCell ref="A4:K4"/>
  </x:mergeCells>
  <x:conditionalFormatting sqref="D16:J75">
    <x:cfRule type="cellIs" dxfId="21" priority="1">
      <x:formula>"Pass"</x:formula>
    </x:cfRule>
    <x:cfRule type="cellIs" dxfId="22" priority="2">
      <x:formula>"Fail"</x:formula>
    </x:cfRule>
    <x:cfRule type="cellIs" dxfId="23" priority="3">
      <x:formula>"Needs Fix"</x:formula>
    </x:cfRule>
  </x:conditionalFormatting>
  <x:conditionalFormatting sqref="C16:C75">
    <x:cfRule type="cellIs" dxfId="24" priority="4">
      <x:formula>"P0"</x:formula>
    </x:cfRule>
    <x:cfRule type="cellIs" dxfId="25" priority="5">
      <x:formula>"P1"</x:formula>
    </x:cfRule>
    <x:cfRule type="cellIs" dxfId="26" priority="6">
      <x:formula>"P2"</x:formula>
    </x:cfRule>
  </x:conditionalFormatting>
  <x:dataValidations count="1">
    <x:dataValidation type="list" sqref="D16:J75">
      <x:formula1>"Not Reviewed,Fail,Needs Fix,Pass"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1c36c7985f44fe"/>
  </x:tableParts>
</x:worksheet>
</file>